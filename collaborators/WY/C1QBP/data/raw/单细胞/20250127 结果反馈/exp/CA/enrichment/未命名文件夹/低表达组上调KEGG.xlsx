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未命名文件夹/"/>
    </mc:Choice>
  </mc:AlternateContent>
  <xr:revisionPtr revIDLastSave="0" documentId="13_ncr:1_{651F1AB6-E446-0940-A405-63D8E66115DD}" xr6:coauthVersionLast="47" xr6:coauthVersionMax="47" xr10:uidLastSave="{00000000-0000-0000-0000-000000000000}"/>
  <bookViews>
    <workbookView xWindow="10400" yWindow="2540" windowWidth="28240" windowHeight="16260" activeTab="1" xr2:uid="{00000000-000D-0000-FFFF-FFFF00000000}"/>
  </bookViews>
  <sheets>
    <sheet name="低表达组上调KEGG-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4" i="3"/>
  <c r="E2" i="3"/>
  <c r="E3" i="3"/>
  <c r="E6" i="2"/>
  <c r="E5" i="2"/>
  <c r="E4" i="2"/>
  <c r="E3" i="2"/>
  <c r="E2" i="2"/>
</calcChain>
</file>

<file path=xl/sharedStrings.xml><?xml version="1.0" encoding="utf-8"?>
<sst xmlns="http://schemas.openxmlformats.org/spreadsheetml/2006/main" count="313" uniqueCount="185">
  <si>
    <t>ID</t>
  </si>
  <si>
    <t>Description</t>
  </si>
  <si>
    <t>BgRatio</t>
  </si>
  <si>
    <t>pvalue</t>
  </si>
  <si>
    <t>p.adjust</t>
  </si>
  <si>
    <t>qvalue</t>
  </si>
  <si>
    <t>geneID</t>
  </si>
  <si>
    <t>Count</t>
  </si>
  <si>
    <t>hsa04657</t>
  </si>
  <si>
    <t>IL-17 signaling pathway</t>
  </si>
  <si>
    <t>95/8541</t>
  </si>
  <si>
    <t>CXCL5/CCL20/S100A8/CXCL8/S100A9/PTGS2/CXCL2/CXCL3/IL1B/MMP1/CXCL1/IL6/FOSB/TNFAIP3/JUND</t>
  </si>
  <si>
    <t>hsa04060</t>
  </si>
  <si>
    <t>Cytokine-cytokine receptor interaction</t>
  </si>
  <si>
    <t>298/8541</t>
  </si>
  <si>
    <t>CCL18/CXCL5/CCL3L3/CCL20/IL1RN/CCL3/CXCL8/INHBA/CXCL2/CXCL3/IL1B/CXCL1/IL6/CCL4/IL1A/TNFRSF1B</t>
  </si>
  <si>
    <t>hsa04668</t>
  </si>
  <si>
    <t>TNF signaling pathway</t>
  </si>
  <si>
    <t>119/8541</t>
  </si>
  <si>
    <t>CXCL5/CCL20/PTGS2/CXCL2/CXCL3/IL1B/CXCL1/IL6/TNFAIP3/TNFRSF1B</t>
  </si>
  <si>
    <t>hsa04064</t>
  </si>
  <si>
    <t>NF-kappa B signaling pathway</t>
  </si>
  <si>
    <t>105/8541</t>
  </si>
  <si>
    <t>CXCL8/PTGS2/CXCL2/CXCL3/IL1B/CXCL1/CCL4/BCL2A1/TNFAIP3</t>
  </si>
  <si>
    <t>hsa04062</t>
  </si>
  <si>
    <t>Chemokine signaling pathway</t>
  </si>
  <si>
    <t>193/8541</t>
  </si>
  <si>
    <t>CCL18/CXCL5/CCL3L3/CCL20/CCL3/CXCL8/CXCL2/CXCL3/CXCL1/CCL4</t>
  </si>
  <si>
    <t>hsa04621</t>
  </si>
  <si>
    <t>NOD-like receptor signaling pathway</t>
  </si>
  <si>
    <t>189/8541</t>
  </si>
  <si>
    <t>CXCL8/CXCL2/CXCL3/IL1B/NAMPT/CXCL1/IL6/TNFAIP3</t>
  </si>
  <si>
    <t>hsa04620</t>
  </si>
  <si>
    <t>Toll-like receptor signaling pathway</t>
  </si>
  <si>
    <t>109/8541</t>
  </si>
  <si>
    <t>CCL3L3/CCL3/CXCL8/IL1B/IL6/CCL4</t>
  </si>
  <si>
    <t>hsa04625</t>
  </si>
  <si>
    <t>C-type lectin receptor signaling pathway</t>
  </si>
  <si>
    <t>PTGS2/IL1B/IL6/CLEC4E</t>
  </si>
  <si>
    <t>hsa03320</t>
  </si>
  <si>
    <t>PPAR signaling pathway</t>
  </si>
  <si>
    <t>76/8541</t>
  </si>
  <si>
    <t>MMP1/OLR1/GK</t>
  </si>
  <si>
    <t>GeneRatio</t>
  </si>
  <si>
    <t>15/53</t>
  </si>
  <si>
    <t>100/8541</t>
  </si>
  <si>
    <t>16/53</t>
  </si>
  <si>
    <t>10/53</t>
  </si>
  <si>
    <t>9/53</t>
  </si>
  <si>
    <t>hsa05134</t>
  </si>
  <si>
    <t>Legionellosis</t>
  </si>
  <si>
    <t>6/53</t>
  </si>
  <si>
    <t>56/8541</t>
  </si>
  <si>
    <t>CXCL8/CXCL2/CXCL3/IL1B/CXCL1/IL6</t>
  </si>
  <si>
    <t>8/53</t>
  </si>
  <si>
    <t>hsa05146</t>
  </si>
  <si>
    <t>Amoebiasis</t>
  </si>
  <si>
    <t>103/8541</t>
  </si>
  <si>
    <t>hsa05133</t>
  </si>
  <si>
    <t>Pertussis</t>
  </si>
  <si>
    <t>5/53</t>
  </si>
  <si>
    <t>78/8541</t>
  </si>
  <si>
    <t>CXCL5/CXCL8/IL1B/IL6/IL1A</t>
  </si>
  <si>
    <t>hsa05167</t>
  </si>
  <si>
    <t>Kaposi sarcoma-associated herpesvirus infection</t>
  </si>
  <si>
    <t>7/53</t>
  </si>
  <si>
    <t>196/8541</t>
  </si>
  <si>
    <t>CXCL8/PTGS2/CXCL2/CXCL3/CXCL1/IL6/HIF1A</t>
  </si>
  <si>
    <t>hsa05144</t>
  </si>
  <si>
    <t>Malaria</t>
  </si>
  <si>
    <t>4/53</t>
  </si>
  <si>
    <t>50/8541</t>
  </si>
  <si>
    <t>CXCL8/IL1B/THBS1/IL6</t>
  </si>
  <si>
    <t>hsa04936</t>
  </si>
  <si>
    <t>Alcoholic liver disease</t>
  </si>
  <si>
    <t>144/8541</t>
  </si>
  <si>
    <t>hsa04640</t>
  </si>
  <si>
    <t>Hematopoietic cell lineage</t>
  </si>
  <si>
    <t>CD44/IL1B/ANPEP/IL6/IL1A</t>
  </si>
  <si>
    <t>hsa05142</t>
  </si>
  <si>
    <t>Chagas disease</t>
  </si>
  <si>
    <t>CCL3L3/CCL3/CXCL8/IL1B/IL6</t>
  </si>
  <si>
    <t>hsa05163</t>
  </si>
  <si>
    <t>Human cytomegalovirus infection</t>
  </si>
  <si>
    <t>226/8541</t>
  </si>
  <si>
    <t>CCL3L3/CCL3/CXCL8/PTGS2/IL1B/IL6/CCL4</t>
  </si>
  <si>
    <t>hsa05120</t>
  </si>
  <si>
    <t>Epithelial cell signaling in Helicobacter pylori infection</t>
  </si>
  <si>
    <t>71/8541</t>
  </si>
  <si>
    <t>CXCL8/CXCL2/CXCL3/CXCL1</t>
  </si>
  <si>
    <t>hsa05140</t>
  </si>
  <si>
    <t>Leishmaniasis</t>
  </si>
  <si>
    <t>79/8541</t>
  </si>
  <si>
    <t>PTGS2/IL1B/FCGR2A/IL1A</t>
  </si>
  <si>
    <t>hsa04380</t>
  </si>
  <si>
    <t>Osteoclast differentiation</t>
  </si>
  <si>
    <t>143/8541</t>
  </si>
  <si>
    <t>IL1B/FOSB/FCGR2A/IL1A/JUND</t>
  </si>
  <si>
    <t>hsa05219</t>
  </si>
  <si>
    <t>Bladder cancer</t>
  </si>
  <si>
    <t>3/53</t>
  </si>
  <si>
    <t>41/8541</t>
  </si>
  <si>
    <t>CXCL8/MMP1/THBS1</t>
  </si>
  <si>
    <t>hsa04216</t>
  </si>
  <si>
    <t>Ferroptosis</t>
  </si>
  <si>
    <t>42/8541</t>
  </si>
  <si>
    <t>FTH1/SAT1/SLC7A11</t>
  </si>
  <si>
    <t>hsa05332</t>
  </si>
  <si>
    <t>Graft-versus-host disease</t>
  </si>
  <si>
    <t>45/8541</t>
  </si>
  <si>
    <t>IL1B/IL6/IL1A</t>
  </si>
  <si>
    <t>hsa05171</t>
  </si>
  <si>
    <t>Coronavirus disease - COVID-19</t>
  </si>
  <si>
    <t>238/8541</t>
  </si>
  <si>
    <t>CXCL8/IL1B/MMP1/CFD/IL6/FCGR2A</t>
  </si>
  <si>
    <t>hsa04933</t>
  </si>
  <si>
    <t>AGE-RAGE signaling pathway in diabetic complications</t>
  </si>
  <si>
    <t>101/8541</t>
  </si>
  <si>
    <t>CXCL8/IL1B/IL6/IL1A</t>
  </si>
  <si>
    <t>hsa05152</t>
  </si>
  <si>
    <t>Tuberculosis</t>
  </si>
  <si>
    <t>182/8541</t>
  </si>
  <si>
    <t>IL1B/IL6/CLEC4E/FCGR2A/IL1A</t>
  </si>
  <si>
    <t>hsa04978</t>
  </si>
  <si>
    <t>Mineral absorption</t>
  </si>
  <si>
    <t>61/8541</t>
  </si>
  <si>
    <t>FTH1/MT2A/ATP2B1</t>
  </si>
  <si>
    <t>hsa05321</t>
  </si>
  <si>
    <t>Inflammatory bowel disease</t>
  </si>
  <si>
    <t>66/8541</t>
  </si>
  <si>
    <t>hsa05205</t>
  </si>
  <si>
    <t>Proteoglycans in cancer</t>
  </si>
  <si>
    <t>204/8541</t>
  </si>
  <si>
    <t>CD44/THBS1/CTSL/PLAUR/HIF1A</t>
  </si>
  <si>
    <t>hsa05135</t>
  </si>
  <si>
    <t>Yersinia infection</t>
  </si>
  <si>
    <t>138/8541</t>
  </si>
  <si>
    <t>CXCL8/IL1B/IL6/FCGR2A</t>
  </si>
  <si>
    <t>hsa05162</t>
  </si>
  <si>
    <t>Measles</t>
  </si>
  <si>
    <t>139/8541</t>
  </si>
  <si>
    <t>IL1B/IL6/TNFAIP3/IL1A</t>
  </si>
  <si>
    <t>hsa04623</t>
  </si>
  <si>
    <t>Cytosolic DNA-sensing pathway</t>
  </si>
  <si>
    <t>83/8541</t>
  </si>
  <si>
    <t>IL1B/IL6/CCL4</t>
  </si>
  <si>
    <t>hsa01523</t>
  </si>
  <si>
    <t>Antifolate resistance</t>
  </si>
  <si>
    <t>2/53</t>
  </si>
  <si>
    <t>30/8541</t>
  </si>
  <si>
    <t>IL1B/IL6</t>
  </si>
  <si>
    <t>hsa04932</t>
  </si>
  <si>
    <t>Non-alcoholic fatty liver disease</t>
  </si>
  <si>
    <t>157/8541</t>
  </si>
  <si>
    <t>hsa04145</t>
  </si>
  <si>
    <t>Phagosome</t>
  </si>
  <si>
    <t>159/8541</t>
  </si>
  <si>
    <t>THBS1/CTSL/OLR1/FCGR2A</t>
  </si>
  <si>
    <t>hsa04217</t>
  </si>
  <si>
    <t>Necroptosis</t>
  </si>
  <si>
    <t>FTH1/IL1B/TNFAIP3/IL1A</t>
  </si>
  <si>
    <t>hsa05143</t>
  </si>
  <si>
    <t>African trypanosomiasis</t>
  </si>
  <si>
    <t>37/8541</t>
  </si>
  <si>
    <t>hsa05164</t>
  </si>
  <si>
    <t>Influenza A</t>
  </si>
  <si>
    <t>173/8541</t>
  </si>
  <si>
    <t>hsa04659</t>
  </si>
  <si>
    <t>Th17 cell differentiation</t>
  </si>
  <si>
    <t>IL1B/IL6/HIF1A</t>
  </si>
  <si>
    <t>hsa04940</t>
  </si>
  <si>
    <t>Type I diabetes mellitus</t>
  </si>
  <si>
    <t>44/8541</t>
  </si>
  <si>
    <t>IL1B/IL1A</t>
  </si>
  <si>
    <t>hsa04066</t>
  </si>
  <si>
    <t>HIF-1 signaling pathway</t>
  </si>
  <si>
    <t>110/8541</t>
  </si>
  <si>
    <t>TIMP1/IL6/HIF1A</t>
  </si>
  <si>
    <t>hsa05202</t>
  </si>
  <si>
    <t>Transcriptional misregulation in cancer</t>
  </si>
  <si>
    <t>198/8541</t>
  </si>
  <si>
    <t>CXCL8/IL6/NUPR1/BCL2A1</t>
  </si>
  <si>
    <t>hsa05130</t>
  </si>
  <si>
    <t>Pathogenic Escherichia coli infection</t>
  </si>
  <si>
    <t>203/8541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</si>
</sst>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96BC-1F90-AD42-A7CF-8E29D0EF2A59}">
  <dimension ref="A1:K45"/>
  <sheetViews>
    <sheetView workbookViewId="0">
      <selection sqref="A1:K6"/>
    </sheetView>
  </sheetViews>
  <sheetFormatPr baseColWidth="10" defaultRowHeight="16"/>
  <cols>
    <col min="3" max="3" width="24" customWidth="1"/>
  </cols>
  <sheetData>
    <row r="1" spans="1:11">
      <c r="B1" t="s">
        <v>0</v>
      </c>
      <c r="C1" t="s">
        <v>1</v>
      </c>
      <c r="D1" t="s">
        <v>43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>
      <c r="A2" t="s">
        <v>8</v>
      </c>
      <c r="B2" t="s">
        <v>8</v>
      </c>
      <c r="C2" t="s">
        <v>9</v>
      </c>
      <c r="D2" t="s">
        <v>44</v>
      </c>
      <c r="E2">
        <f>15/53</f>
        <v>0.28301886792452829</v>
      </c>
      <c r="F2" t="s">
        <v>10</v>
      </c>
      <c r="G2" s="1">
        <v>6.9497445449213699E-18</v>
      </c>
      <c r="H2" s="1">
        <v>9.6601449174407095E-16</v>
      </c>
      <c r="I2" s="1">
        <v>6.7302789277133304E-16</v>
      </c>
      <c r="J2" t="s">
        <v>11</v>
      </c>
      <c r="K2">
        <v>15</v>
      </c>
    </row>
    <row r="3" spans="1:11">
      <c r="A3" t="s">
        <v>12</v>
      </c>
      <c r="B3" t="s">
        <v>12</v>
      </c>
      <c r="C3" t="s">
        <v>13</v>
      </c>
      <c r="D3" t="s">
        <v>46</v>
      </c>
      <c r="E3">
        <f>16/53</f>
        <v>0.30188679245283018</v>
      </c>
      <c r="F3" t="s">
        <v>14</v>
      </c>
      <c r="G3" s="1">
        <v>1.49561473931502E-11</v>
      </c>
      <c r="H3" s="1">
        <v>5.1972612191196895E-10</v>
      </c>
      <c r="I3" s="1">
        <v>3.62096200044689E-10</v>
      </c>
      <c r="J3" t="s">
        <v>15</v>
      </c>
      <c r="K3">
        <v>16</v>
      </c>
    </row>
    <row r="4" spans="1:11">
      <c r="A4" t="s">
        <v>16</v>
      </c>
      <c r="B4" t="s">
        <v>16</v>
      </c>
      <c r="C4" t="s">
        <v>17</v>
      </c>
      <c r="D4" t="s">
        <v>47</v>
      </c>
      <c r="E4">
        <f>10/53</f>
        <v>0.18867924528301888</v>
      </c>
      <c r="F4" t="s">
        <v>18</v>
      </c>
      <c r="G4" s="1">
        <v>2.21661418626557E-9</v>
      </c>
      <c r="H4" s="1">
        <v>6.16218743781829E-8</v>
      </c>
      <c r="I4" s="1">
        <v>4.2932316870827901E-8</v>
      </c>
      <c r="J4" t="s">
        <v>19</v>
      </c>
      <c r="K4">
        <v>10</v>
      </c>
    </row>
    <row r="5" spans="1:11">
      <c r="A5" t="s">
        <v>20</v>
      </c>
      <c r="B5" t="s">
        <v>20</v>
      </c>
      <c r="C5" t="s">
        <v>21</v>
      </c>
      <c r="D5" t="s">
        <v>48</v>
      </c>
      <c r="E5">
        <f>9/53</f>
        <v>0.16981132075471697</v>
      </c>
      <c r="F5" t="s">
        <v>22</v>
      </c>
      <c r="G5" s="1">
        <v>1.28213199171637E-8</v>
      </c>
      <c r="H5" s="1">
        <v>2.9702724474762698E-7</v>
      </c>
      <c r="I5" s="1">
        <v>2.0694060217176601E-7</v>
      </c>
      <c r="J5" t="s">
        <v>23</v>
      </c>
      <c r="K5">
        <v>9</v>
      </c>
    </row>
    <row r="6" spans="1:11">
      <c r="A6" t="s">
        <v>24</v>
      </c>
      <c r="B6" t="s">
        <v>24</v>
      </c>
      <c r="C6" t="s">
        <v>25</v>
      </c>
      <c r="D6" t="s">
        <v>47</v>
      </c>
      <c r="E6">
        <f>10/53</f>
        <v>0.18867924528301888</v>
      </c>
      <c r="F6" t="s">
        <v>26</v>
      </c>
      <c r="G6" s="1">
        <v>2.3044491163115799E-7</v>
      </c>
      <c r="H6" s="1">
        <v>4.0039803395913697E-6</v>
      </c>
      <c r="I6" s="1">
        <v>2.78959629869296E-6</v>
      </c>
      <c r="J6" t="s">
        <v>27</v>
      </c>
      <c r="K6">
        <v>10</v>
      </c>
    </row>
    <row r="7" spans="1:11">
      <c r="A7" t="s">
        <v>49</v>
      </c>
      <c r="B7" t="s">
        <v>49</v>
      </c>
      <c r="C7" t="s">
        <v>50</v>
      </c>
      <c r="D7" t="s">
        <v>51</v>
      </c>
      <c r="F7" t="s">
        <v>52</v>
      </c>
      <c r="G7" s="1">
        <v>1.09316792696276E-6</v>
      </c>
      <c r="H7" s="1">
        <v>1.6883371316424799E-5</v>
      </c>
      <c r="I7" s="1">
        <v>1.17627426059151E-5</v>
      </c>
      <c r="J7" t="s">
        <v>53</v>
      </c>
      <c r="K7">
        <v>6</v>
      </c>
    </row>
    <row r="8" spans="1:11">
      <c r="A8" t="s">
        <v>28</v>
      </c>
      <c r="B8" t="s">
        <v>28</v>
      </c>
      <c r="C8" t="s">
        <v>29</v>
      </c>
      <c r="D8" t="s">
        <v>54</v>
      </c>
      <c r="F8" t="s">
        <v>30</v>
      </c>
      <c r="G8" s="1">
        <v>1.8734769588190999E-5</v>
      </c>
      <c r="H8">
        <v>2.60413297275855E-4</v>
      </c>
      <c r="I8">
        <v>1.8143145285406099E-4</v>
      </c>
      <c r="J8" t="s">
        <v>31</v>
      </c>
      <c r="K8">
        <v>8</v>
      </c>
    </row>
    <row r="9" spans="1:11">
      <c r="A9" t="s">
        <v>55</v>
      </c>
      <c r="B9" t="s">
        <v>55</v>
      </c>
      <c r="C9" t="s">
        <v>56</v>
      </c>
      <c r="D9" t="s">
        <v>51</v>
      </c>
      <c r="F9" t="s">
        <v>57</v>
      </c>
      <c r="G9" s="1">
        <v>3.8543111286167402E-5</v>
      </c>
      <c r="H9">
        <v>4.8704476988884198E-4</v>
      </c>
      <c r="I9">
        <v>3.39326912758603E-4</v>
      </c>
      <c r="J9" t="s">
        <v>53</v>
      </c>
      <c r="K9">
        <v>6</v>
      </c>
    </row>
    <row r="10" spans="1:11">
      <c r="A10" t="s">
        <v>32</v>
      </c>
      <c r="B10" t="s">
        <v>32</v>
      </c>
      <c r="C10" t="s">
        <v>33</v>
      </c>
      <c r="D10" t="s">
        <v>51</v>
      </c>
      <c r="F10" t="s">
        <v>34</v>
      </c>
      <c r="G10" s="1">
        <v>5.3059590004502802E-5</v>
      </c>
      <c r="H10">
        <v>6.1460691755215705E-4</v>
      </c>
      <c r="I10">
        <v>4.2820020003633803E-4</v>
      </c>
      <c r="J10" t="s">
        <v>35</v>
      </c>
      <c r="K10">
        <v>6</v>
      </c>
    </row>
    <row r="11" spans="1:11">
      <c r="A11" t="s">
        <v>58</v>
      </c>
      <c r="B11" t="s">
        <v>58</v>
      </c>
      <c r="C11" t="s">
        <v>59</v>
      </c>
      <c r="D11" t="s">
        <v>60</v>
      </c>
      <c r="F11" t="s">
        <v>61</v>
      </c>
      <c r="G11">
        <v>1.13706414197069E-4</v>
      </c>
      <c r="H11">
        <v>1.2157839671840501E-3</v>
      </c>
      <c r="I11">
        <v>8.47043733289907E-4</v>
      </c>
      <c r="J11" t="s">
        <v>62</v>
      </c>
      <c r="K11">
        <v>5</v>
      </c>
    </row>
    <row r="12" spans="1:11">
      <c r="A12" t="s">
        <v>63</v>
      </c>
      <c r="B12" t="s">
        <v>63</v>
      </c>
      <c r="C12" t="s">
        <v>64</v>
      </c>
      <c r="D12" t="s">
        <v>65</v>
      </c>
      <c r="F12" t="s">
        <v>66</v>
      </c>
      <c r="G12">
        <v>1.8978653190001999E-4</v>
      </c>
      <c r="H12">
        <v>1.8843091381502001E-3</v>
      </c>
      <c r="I12">
        <v>1.31280909284224E-3</v>
      </c>
      <c r="J12" t="s">
        <v>67</v>
      </c>
      <c r="K12">
        <v>7</v>
      </c>
    </row>
    <row r="13" spans="1:11">
      <c r="A13" t="s">
        <v>68</v>
      </c>
      <c r="B13" t="s">
        <v>68</v>
      </c>
      <c r="C13" t="s">
        <v>69</v>
      </c>
      <c r="D13" t="s">
        <v>70</v>
      </c>
      <c r="F13" t="s">
        <v>71</v>
      </c>
      <c r="G13">
        <v>2.4640212521182599E-4</v>
      </c>
      <c r="H13">
        <v>2.14962673869588E-3</v>
      </c>
      <c r="I13">
        <v>1.4976574021963E-3</v>
      </c>
      <c r="J13" t="s">
        <v>72</v>
      </c>
      <c r="K13">
        <v>4</v>
      </c>
    </row>
    <row r="14" spans="1:11">
      <c r="A14" t="s">
        <v>73</v>
      </c>
      <c r="B14" t="s">
        <v>73</v>
      </c>
      <c r="C14" t="s">
        <v>74</v>
      </c>
      <c r="D14" t="s">
        <v>51</v>
      </c>
      <c r="F14" t="s">
        <v>75</v>
      </c>
      <c r="G14">
        <v>2.4743904905851898E-4</v>
      </c>
      <c r="H14">
        <v>2.14962673869588E-3</v>
      </c>
      <c r="I14">
        <v>1.4976574021963E-3</v>
      </c>
      <c r="J14" t="s">
        <v>53</v>
      </c>
      <c r="K14">
        <v>6</v>
      </c>
    </row>
    <row r="15" spans="1:11">
      <c r="A15" t="s">
        <v>76</v>
      </c>
      <c r="B15" t="s">
        <v>76</v>
      </c>
      <c r="C15" t="s">
        <v>77</v>
      </c>
      <c r="D15" t="s">
        <v>60</v>
      </c>
      <c r="F15" t="s">
        <v>45</v>
      </c>
      <c r="G15">
        <v>3.6582763893981798E-4</v>
      </c>
      <c r="H15">
        <v>2.9911789301549801E-3</v>
      </c>
      <c r="I15">
        <v>2.0839716893166099E-3</v>
      </c>
      <c r="J15" t="s">
        <v>78</v>
      </c>
      <c r="K15">
        <v>5</v>
      </c>
    </row>
    <row r="16" spans="1:11">
      <c r="A16" t="s">
        <v>79</v>
      </c>
      <c r="B16" t="s">
        <v>79</v>
      </c>
      <c r="C16" t="s">
        <v>80</v>
      </c>
      <c r="D16" t="s">
        <v>60</v>
      </c>
      <c r="F16" t="s">
        <v>57</v>
      </c>
      <c r="G16">
        <v>4.1944192507277402E-4</v>
      </c>
      <c r="H16">
        <v>3.23902375472865E-3</v>
      </c>
      <c r="I16">
        <v>2.25664661442662E-3</v>
      </c>
      <c r="J16" t="s">
        <v>81</v>
      </c>
      <c r="K16">
        <v>5</v>
      </c>
    </row>
    <row r="17" spans="1:11">
      <c r="A17" t="s">
        <v>82</v>
      </c>
      <c r="B17" t="s">
        <v>82</v>
      </c>
      <c r="C17" t="s">
        <v>83</v>
      </c>
      <c r="D17" t="s">
        <v>65</v>
      </c>
      <c r="F17" t="s">
        <v>84</v>
      </c>
      <c r="G17">
        <v>4.52582141389687E-4</v>
      </c>
      <c r="H17">
        <v>3.3109956659561298E-3</v>
      </c>
      <c r="I17">
        <v>2.3067898619308202E-3</v>
      </c>
      <c r="J17" t="s">
        <v>85</v>
      </c>
      <c r="K17">
        <v>7</v>
      </c>
    </row>
    <row r="18" spans="1:11">
      <c r="A18" t="s">
        <v>86</v>
      </c>
      <c r="B18" t="s">
        <v>86</v>
      </c>
      <c r="C18" t="s">
        <v>87</v>
      </c>
      <c r="D18" t="s">
        <v>70</v>
      </c>
      <c r="F18" t="s">
        <v>88</v>
      </c>
      <c r="G18">
        <v>9.4432250546349001E-4</v>
      </c>
      <c r="H18">
        <v>6.56304141297126E-3</v>
      </c>
      <c r="I18">
        <v>4.5725089738232203E-3</v>
      </c>
      <c r="J18" t="s">
        <v>89</v>
      </c>
      <c r="K18">
        <v>4</v>
      </c>
    </row>
    <row r="19" spans="1:11">
      <c r="A19" t="s">
        <v>90</v>
      </c>
      <c r="B19" t="s">
        <v>90</v>
      </c>
      <c r="C19" t="s">
        <v>91</v>
      </c>
      <c r="D19" t="s">
        <v>70</v>
      </c>
      <c r="F19" t="s">
        <v>92</v>
      </c>
      <c r="G19">
        <v>1.40786016178492E-3</v>
      </c>
      <c r="H19">
        <v>9.3186934518144707E-3</v>
      </c>
      <c r="I19">
        <v>6.49238771349437E-3</v>
      </c>
      <c r="J19" t="s">
        <v>93</v>
      </c>
      <c r="K19">
        <v>4</v>
      </c>
    </row>
    <row r="20" spans="1:11">
      <c r="A20" t="s">
        <v>94</v>
      </c>
      <c r="B20" t="s">
        <v>94</v>
      </c>
      <c r="C20" t="s">
        <v>95</v>
      </c>
      <c r="D20" t="s">
        <v>60</v>
      </c>
      <c r="F20" t="s">
        <v>96</v>
      </c>
      <c r="G20">
        <v>1.84545011817182E-3</v>
      </c>
      <c r="H20">
        <v>1.16598893829947E-2</v>
      </c>
      <c r="I20">
        <v>8.1235124819046805E-3</v>
      </c>
      <c r="J20" t="s">
        <v>97</v>
      </c>
      <c r="K20">
        <v>5</v>
      </c>
    </row>
    <row r="21" spans="1:11">
      <c r="A21" t="s">
        <v>98</v>
      </c>
      <c r="B21" t="s">
        <v>98</v>
      </c>
      <c r="C21" t="s">
        <v>99</v>
      </c>
      <c r="D21" t="s">
        <v>100</v>
      </c>
      <c r="F21" t="s">
        <v>101</v>
      </c>
      <c r="G21">
        <v>2.0364132047095201E-3</v>
      </c>
      <c r="H21">
        <v>1.23070189328097E-2</v>
      </c>
      <c r="I21">
        <v>8.5743713882506095E-3</v>
      </c>
      <c r="J21" t="s">
        <v>102</v>
      </c>
      <c r="K21">
        <v>3</v>
      </c>
    </row>
    <row r="22" spans="1:11">
      <c r="A22" t="s">
        <v>103</v>
      </c>
      <c r="B22" t="s">
        <v>103</v>
      </c>
      <c r="C22" t="s">
        <v>104</v>
      </c>
      <c r="D22" t="s">
        <v>100</v>
      </c>
      <c r="F22" t="s">
        <v>105</v>
      </c>
      <c r="G22">
        <v>2.1835043504458002E-3</v>
      </c>
      <c r="H22">
        <v>1.2646129362998601E-2</v>
      </c>
      <c r="I22">
        <v>8.8106315895181194E-3</v>
      </c>
      <c r="J22" t="s">
        <v>106</v>
      </c>
      <c r="K22">
        <v>3</v>
      </c>
    </row>
    <row r="23" spans="1:11">
      <c r="A23" t="s">
        <v>107</v>
      </c>
      <c r="B23" t="s">
        <v>107</v>
      </c>
      <c r="C23" t="s">
        <v>108</v>
      </c>
      <c r="D23" t="s">
        <v>100</v>
      </c>
      <c r="F23" t="s">
        <v>109</v>
      </c>
      <c r="G23">
        <v>2.66383596830097E-3</v>
      </c>
      <c r="H23">
        <v>1.48109279837534E-2</v>
      </c>
      <c r="I23">
        <v>1.0318859329839499E-2</v>
      </c>
      <c r="J23" t="s">
        <v>110</v>
      </c>
      <c r="K23">
        <v>3</v>
      </c>
    </row>
    <row r="24" spans="1:11">
      <c r="A24" t="s">
        <v>111</v>
      </c>
      <c r="B24" t="s">
        <v>111</v>
      </c>
      <c r="C24" t="s">
        <v>112</v>
      </c>
      <c r="D24" t="s">
        <v>51</v>
      </c>
      <c r="F24" t="s">
        <v>113</v>
      </c>
      <c r="G24">
        <v>3.3741196754778998E-3</v>
      </c>
      <c r="H24">
        <v>1.7815380494277298E-2</v>
      </c>
      <c r="I24">
        <v>1.24120787994965E-2</v>
      </c>
      <c r="J24" t="s">
        <v>114</v>
      </c>
      <c r="K24">
        <v>6</v>
      </c>
    </row>
    <row r="25" spans="1:11">
      <c r="A25" t="s">
        <v>115</v>
      </c>
      <c r="B25" t="s">
        <v>115</v>
      </c>
      <c r="C25" t="s">
        <v>116</v>
      </c>
      <c r="D25" t="s">
        <v>70</v>
      </c>
      <c r="F25" t="s">
        <v>117</v>
      </c>
      <c r="G25">
        <v>3.4605415348596198E-3</v>
      </c>
      <c r="H25">
        <v>1.7815380494277298E-2</v>
      </c>
      <c r="I25">
        <v>1.24120787994965E-2</v>
      </c>
      <c r="J25" t="s">
        <v>118</v>
      </c>
      <c r="K25">
        <v>4</v>
      </c>
    </row>
    <row r="26" spans="1:11">
      <c r="A26" t="s">
        <v>36</v>
      </c>
      <c r="B26" t="s">
        <v>36</v>
      </c>
      <c r="C26" t="s">
        <v>37</v>
      </c>
      <c r="D26" t="s">
        <v>70</v>
      </c>
      <c r="F26" t="s">
        <v>22</v>
      </c>
      <c r="G26">
        <v>3.9784303375724802E-3</v>
      </c>
      <c r="H26">
        <v>1.9750064890091901E-2</v>
      </c>
      <c r="I26">
        <v>1.37599846261905E-2</v>
      </c>
      <c r="J26" t="s">
        <v>38</v>
      </c>
      <c r="K26">
        <v>4</v>
      </c>
    </row>
    <row r="27" spans="1:11">
      <c r="A27" t="s">
        <v>119</v>
      </c>
      <c r="B27" t="s">
        <v>119</v>
      </c>
      <c r="C27" t="s">
        <v>120</v>
      </c>
      <c r="D27" t="s">
        <v>60</v>
      </c>
      <c r="F27" t="s">
        <v>121</v>
      </c>
      <c r="G27">
        <v>5.2175917123721601E-3</v>
      </c>
      <c r="H27">
        <v>2.5008456828266499E-2</v>
      </c>
      <c r="I27">
        <v>1.7423536752749099E-2</v>
      </c>
      <c r="J27" t="s">
        <v>122</v>
      </c>
      <c r="K27">
        <v>5</v>
      </c>
    </row>
    <row r="28" spans="1:11">
      <c r="A28" t="s">
        <v>123</v>
      </c>
      <c r="B28" t="s">
        <v>123</v>
      </c>
      <c r="C28" t="s">
        <v>124</v>
      </c>
      <c r="D28" t="s">
        <v>100</v>
      </c>
      <c r="F28" t="s">
        <v>125</v>
      </c>
      <c r="G28">
        <v>6.3014375891676496E-3</v>
      </c>
      <c r="H28">
        <v>2.9196660829810098E-2</v>
      </c>
      <c r="I28">
        <v>2.0341482743979799E-2</v>
      </c>
      <c r="J28" t="s">
        <v>126</v>
      </c>
      <c r="K28">
        <v>3</v>
      </c>
    </row>
    <row r="29" spans="1:11">
      <c r="A29" t="s">
        <v>127</v>
      </c>
      <c r="B29" t="s">
        <v>127</v>
      </c>
      <c r="C29" t="s">
        <v>128</v>
      </c>
      <c r="D29" t="s">
        <v>100</v>
      </c>
      <c r="F29" t="s">
        <v>129</v>
      </c>
      <c r="G29">
        <v>7.8398485786814204E-3</v>
      </c>
      <c r="H29">
        <v>3.51528694334425E-2</v>
      </c>
      <c r="I29">
        <v>2.4491207783996299E-2</v>
      </c>
      <c r="J29" t="s">
        <v>110</v>
      </c>
      <c r="K29">
        <v>3</v>
      </c>
    </row>
    <row r="30" spans="1:11">
      <c r="A30" t="s">
        <v>130</v>
      </c>
      <c r="B30" t="s">
        <v>130</v>
      </c>
      <c r="C30" t="s">
        <v>131</v>
      </c>
      <c r="D30" t="s">
        <v>60</v>
      </c>
      <c r="F30" t="s">
        <v>132</v>
      </c>
      <c r="G30">
        <v>8.3837932207340305E-3</v>
      </c>
      <c r="H30">
        <v>3.6417101802563502E-2</v>
      </c>
      <c r="I30">
        <v>2.53720057995898E-2</v>
      </c>
      <c r="J30" t="s">
        <v>133</v>
      </c>
      <c r="K30">
        <v>5</v>
      </c>
    </row>
    <row r="31" spans="1:11">
      <c r="A31" t="s">
        <v>134</v>
      </c>
      <c r="B31" t="s">
        <v>134</v>
      </c>
      <c r="C31" t="s">
        <v>135</v>
      </c>
      <c r="D31" t="s">
        <v>70</v>
      </c>
      <c r="F31" t="s">
        <v>136</v>
      </c>
      <c r="G31">
        <v>1.03615074464973E-2</v>
      </c>
      <c r="H31">
        <v>4.34181698950638E-2</v>
      </c>
      <c r="I31">
        <v>3.0249690498643501E-2</v>
      </c>
      <c r="J31" t="s">
        <v>137</v>
      </c>
      <c r="K31">
        <v>4</v>
      </c>
    </row>
    <row r="32" spans="1:11">
      <c r="A32" t="s">
        <v>138</v>
      </c>
      <c r="B32" t="s">
        <v>138</v>
      </c>
      <c r="C32" t="s">
        <v>139</v>
      </c>
      <c r="D32" t="s">
        <v>70</v>
      </c>
      <c r="F32" t="s">
        <v>140</v>
      </c>
      <c r="G32">
        <v>1.06202717728933E-2</v>
      </c>
      <c r="H32">
        <v>4.34181698950638E-2</v>
      </c>
      <c r="I32">
        <v>3.0249690498643501E-2</v>
      </c>
      <c r="J32" t="s">
        <v>141</v>
      </c>
      <c r="K32">
        <v>4</v>
      </c>
    </row>
    <row r="33" spans="1:11">
      <c r="A33" t="s">
        <v>39</v>
      </c>
      <c r="B33" t="s">
        <v>39</v>
      </c>
      <c r="C33" t="s">
        <v>40</v>
      </c>
      <c r="D33" t="s">
        <v>100</v>
      </c>
      <c r="F33" t="s">
        <v>41</v>
      </c>
      <c r="G33">
        <v>1.1532868396776801E-2</v>
      </c>
      <c r="H33">
        <v>4.5801963061484999E-2</v>
      </c>
      <c r="I33">
        <v>3.1910493007623102E-2</v>
      </c>
      <c r="J33" t="s">
        <v>42</v>
      </c>
      <c r="K33">
        <v>3</v>
      </c>
    </row>
    <row r="34" spans="1:11">
      <c r="A34" t="s">
        <v>142</v>
      </c>
      <c r="B34" t="s">
        <v>142</v>
      </c>
      <c r="C34" t="s">
        <v>143</v>
      </c>
      <c r="D34" t="s">
        <v>100</v>
      </c>
      <c r="F34" t="s">
        <v>144</v>
      </c>
      <c r="G34">
        <v>1.46233274398811E-2</v>
      </c>
      <c r="H34">
        <v>5.5255210354742797E-2</v>
      </c>
      <c r="I34">
        <v>3.8496625161956399E-2</v>
      </c>
      <c r="J34" t="s">
        <v>145</v>
      </c>
      <c r="K34">
        <v>3</v>
      </c>
    </row>
    <row r="35" spans="1:11">
      <c r="A35" t="s">
        <v>146</v>
      </c>
      <c r="B35" t="s">
        <v>146</v>
      </c>
      <c r="C35" t="s">
        <v>147</v>
      </c>
      <c r="D35" t="s">
        <v>148</v>
      </c>
      <c r="F35" t="s">
        <v>149</v>
      </c>
      <c r="G35">
        <v>1.47082214613344E-2</v>
      </c>
      <c r="H35">
        <v>5.5255210354742797E-2</v>
      </c>
      <c r="I35">
        <v>3.8496625161956399E-2</v>
      </c>
      <c r="J35" t="s">
        <v>150</v>
      </c>
      <c r="K35">
        <v>2</v>
      </c>
    </row>
    <row r="36" spans="1:11">
      <c r="A36" t="s">
        <v>151</v>
      </c>
      <c r="B36" t="s">
        <v>151</v>
      </c>
      <c r="C36" t="s">
        <v>152</v>
      </c>
      <c r="D36" t="s">
        <v>70</v>
      </c>
      <c r="F36" t="s">
        <v>153</v>
      </c>
      <c r="G36">
        <v>1.60130837683745E-2</v>
      </c>
      <c r="H36">
        <v>5.8037075603949502E-2</v>
      </c>
      <c r="I36">
        <v>4.0434766797147699E-2</v>
      </c>
      <c r="J36" t="s">
        <v>118</v>
      </c>
      <c r="K36">
        <v>4</v>
      </c>
    </row>
    <row r="37" spans="1:11">
      <c r="A37" t="s">
        <v>154</v>
      </c>
      <c r="B37" t="s">
        <v>154</v>
      </c>
      <c r="C37" t="s">
        <v>155</v>
      </c>
      <c r="D37" t="s">
        <v>70</v>
      </c>
      <c r="F37" t="s">
        <v>156</v>
      </c>
      <c r="G37">
        <v>1.6701316720561001E-2</v>
      </c>
      <c r="H37">
        <v>5.8037075603949502E-2</v>
      </c>
      <c r="I37">
        <v>4.0434766797147699E-2</v>
      </c>
      <c r="J37" t="s">
        <v>157</v>
      </c>
      <c r="K37">
        <v>4</v>
      </c>
    </row>
    <row r="38" spans="1:11">
      <c r="A38" t="s">
        <v>158</v>
      </c>
      <c r="B38" t="s">
        <v>158</v>
      </c>
      <c r="C38" t="s">
        <v>159</v>
      </c>
      <c r="D38" t="s">
        <v>70</v>
      </c>
      <c r="F38" t="s">
        <v>156</v>
      </c>
      <c r="G38">
        <v>1.6701316720561001E-2</v>
      </c>
      <c r="H38">
        <v>5.8037075603949502E-2</v>
      </c>
      <c r="I38">
        <v>4.0434766797147699E-2</v>
      </c>
      <c r="J38" t="s">
        <v>160</v>
      </c>
      <c r="K38">
        <v>4</v>
      </c>
    </row>
    <row r="39" spans="1:11">
      <c r="A39" t="s">
        <v>161</v>
      </c>
      <c r="B39" t="s">
        <v>161</v>
      </c>
      <c r="C39" t="s">
        <v>162</v>
      </c>
      <c r="D39" t="s">
        <v>148</v>
      </c>
      <c r="F39" t="s">
        <v>163</v>
      </c>
      <c r="G39">
        <v>2.19065927808164E-2</v>
      </c>
      <c r="H39">
        <v>7.2946846424712497E-2</v>
      </c>
      <c r="I39">
        <v>5.0822490504154098E-2</v>
      </c>
      <c r="J39" t="s">
        <v>150</v>
      </c>
      <c r="K39">
        <v>2</v>
      </c>
    </row>
    <row r="40" spans="1:11">
      <c r="A40" t="s">
        <v>164</v>
      </c>
      <c r="B40" t="s">
        <v>164</v>
      </c>
      <c r="C40" t="s">
        <v>165</v>
      </c>
      <c r="D40" t="s">
        <v>70</v>
      </c>
      <c r="F40" t="s">
        <v>166</v>
      </c>
      <c r="G40">
        <v>2.2041493164301599E-2</v>
      </c>
      <c r="H40">
        <v>7.2946846424712497E-2</v>
      </c>
      <c r="I40">
        <v>5.0822490504154098E-2</v>
      </c>
      <c r="J40" t="s">
        <v>118</v>
      </c>
      <c r="K40">
        <v>4</v>
      </c>
    </row>
    <row r="41" spans="1:11">
      <c r="A41" t="s">
        <v>167</v>
      </c>
      <c r="B41" t="s">
        <v>167</v>
      </c>
      <c r="C41" t="s">
        <v>168</v>
      </c>
      <c r="D41" t="s">
        <v>100</v>
      </c>
      <c r="F41" t="s">
        <v>34</v>
      </c>
      <c r="G41">
        <v>2.9868389503335702E-2</v>
      </c>
      <c r="H41">
        <v>9.4440110775303301E-2</v>
      </c>
      <c r="I41">
        <v>6.5796972293282199E-2</v>
      </c>
      <c r="J41" t="s">
        <v>169</v>
      </c>
      <c r="K41">
        <v>3</v>
      </c>
    </row>
    <row r="42" spans="1:11">
      <c r="A42" t="s">
        <v>170</v>
      </c>
      <c r="B42" t="s">
        <v>170</v>
      </c>
      <c r="C42" t="s">
        <v>171</v>
      </c>
      <c r="D42" t="s">
        <v>148</v>
      </c>
      <c r="F42" t="s">
        <v>172</v>
      </c>
      <c r="G42">
        <v>3.0273190342081199E-2</v>
      </c>
      <c r="H42">
        <v>9.4440110775303301E-2</v>
      </c>
      <c r="I42">
        <v>6.5796972293282199E-2</v>
      </c>
      <c r="J42" t="s">
        <v>173</v>
      </c>
      <c r="K42">
        <v>2</v>
      </c>
    </row>
    <row r="43" spans="1:11">
      <c r="A43" t="s">
        <v>174</v>
      </c>
      <c r="B43" t="s">
        <v>174</v>
      </c>
      <c r="C43" t="s">
        <v>175</v>
      </c>
      <c r="D43" t="s">
        <v>100</v>
      </c>
      <c r="F43" t="s">
        <v>176</v>
      </c>
      <c r="G43">
        <v>3.0574136581932702E-2</v>
      </c>
      <c r="H43">
        <v>9.4440110775303301E-2</v>
      </c>
      <c r="I43">
        <v>6.5796972293282199E-2</v>
      </c>
      <c r="J43" t="s">
        <v>177</v>
      </c>
      <c r="K43">
        <v>3</v>
      </c>
    </row>
    <row r="44" spans="1:11">
      <c r="A44" t="s">
        <v>178</v>
      </c>
      <c r="B44" t="s">
        <v>178</v>
      </c>
      <c r="C44" t="s">
        <v>179</v>
      </c>
      <c r="D44" t="s">
        <v>70</v>
      </c>
      <c r="F44" t="s">
        <v>180</v>
      </c>
      <c r="G44">
        <v>3.3944221807882702E-2</v>
      </c>
      <c r="H44">
        <v>0.102570583289037</v>
      </c>
      <c r="I44">
        <v>7.1461519595542505E-2</v>
      </c>
      <c r="J44" t="s">
        <v>181</v>
      </c>
      <c r="K44">
        <v>4</v>
      </c>
    </row>
    <row r="45" spans="1:11">
      <c r="A45" t="s">
        <v>182</v>
      </c>
      <c r="B45" t="s">
        <v>182</v>
      </c>
      <c r="C45" t="s">
        <v>183</v>
      </c>
      <c r="D45" t="s">
        <v>70</v>
      </c>
      <c r="F45" t="s">
        <v>184</v>
      </c>
      <c r="G45">
        <v>3.6699840856475902E-2</v>
      </c>
      <c r="H45">
        <v>0.108537827213833</v>
      </c>
      <c r="I45">
        <v>7.5618933007744402E-2</v>
      </c>
      <c r="J45" t="s">
        <v>137</v>
      </c>
      <c r="K45">
        <v>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A32A-5534-CC45-A94A-A3DDAC321230}">
  <dimension ref="A1:K6"/>
  <sheetViews>
    <sheetView tabSelected="1" workbookViewId="0">
      <selection activeCell="K2" sqref="K2:K6"/>
    </sheetView>
  </sheetViews>
  <sheetFormatPr baseColWidth="10" defaultRowHeight="16"/>
  <sheetData>
    <row r="1" spans="1:11">
      <c r="B1" t="s">
        <v>0</v>
      </c>
      <c r="C1" t="s">
        <v>1</v>
      </c>
      <c r="D1" t="s">
        <v>43</v>
      </c>
      <c r="E1" t="s">
        <v>43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>
      <c r="A2" t="s">
        <v>12</v>
      </c>
      <c r="B2" t="s">
        <v>12</v>
      </c>
      <c r="C2" t="s">
        <v>13</v>
      </c>
      <c r="D2" t="s">
        <v>46</v>
      </c>
      <c r="E2">
        <f>16/53</f>
        <v>0.30188679245283018</v>
      </c>
      <c r="F2" t="s">
        <v>14</v>
      </c>
      <c r="G2" s="1">
        <v>1.49561473931502E-11</v>
      </c>
      <c r="H2" s="1">
        <v>5.1972612191196895E-10</v>
      </c>
      <c r="I2" s="1">
        <v>3.62096200044689E-10</v>
      </c>
      <c r="J2" t="s">
        <v>15</v>
      </c>
      <c r="K2">
        <v>16</v>
      </c>
    </row>
    <row r="3" spans="1:11">
      <c r="A3" t="s">
        <v>8</v>
      </c>
      <c r="B3" t="s">
        <v>8</v>
      </c>
      <c r="C3" t="s">
        <v>9</v>
      </c>
      <c r="D3" t="s">
        <v>44</v>
      </c>
      <c r="E3">
        <f>15/53</f>
        <v>0.28301886792452829</v>
      </c>
      <c r="F3" t="s">
        <v>10</v>
      </c>
      <c r="G3" s="1">
        <v>6.9497445449213699E-18</v>
      </c>
      <c r="H3" s="1">
        <v>9.6601449174407095E-16</v>
      </c>
      <c r="I3" s="1">
        <v>6.7302789277133304E-16</v>
      </c>
      <c r="J3" t="s">
        <v>11</v>
      </c>
      <c r="K3">
        <v>15</v>
      </c>
    </row>
    <row r="4" spans="1:11">
      <c r="A4" t="s">
        <v>16</v>
      </c>
      <c r="B4" t="s">
        <v>16</v>
      </c>
      <c r="C4" t="s">
        <v>17</v>
      </c>
      <c r="D4" t="s">
        <v>47</v>
      </c>
      <c r="E4">
        <f>10/53</f>
        <v>0.18867924528301888</v>
      </c>
      <c r="F4" t="s">
        <v>18</v>
      </c>
      <c r="G4" s="1">
        <v>2.21661418626557E-9</v>
      </c>
      <c r="H4" s="1">
        <v>6.16218743781829E-8</v>
      </c>
      <c r="I4" s="1">
        <v>4.2932316870827901E-8</v>
      </c>
      <c r="J4" t="s">
        <v>19</v>
      </c>
      <c r="K4">
        <v>10</v>
      </c>
    </row>
    <row r="5" spans="1:11">
      <c r="A5" t="s">
        <v>24</v>
      </c>
      <c r="B5" t="s">
        <v>24</v>
      </c>
      <c r="C5" t="s">
        <v>25</v>
      </c>
      <c r="D5" t="s">
        <v>47</v>
      </c>
      <c r="E5">
        <f>10/53</f>
        <v>0.18867924528301888</v>
      </c>
      <c r="F5" t="s">
        <v>26</v>
      </c>
      <c r="G5" s="1">
        <v>2.3044491163115799E-7</v>
      </c>
      <c r="H5" s="1">
        <v>4.0039803395913697E-6</v>
      </c>
      <c r="I5" s="1">
        <v>2.78959629869296E-6</v>
      </c>
      <c r="J5" t="s">
        <v>27</v>
      </c>
      <c r="K5">
        <v>10</v>
      </c>
    </row>
    <row r="6" spans="1:11">
      <c r="A6" t="s">
        <v>20</v>
      </c>
      <c r="B6" t="s">
        <v>20</v>
      </c>
      <c r="C6" t="s">
        <v>21</v>
      </c>
      <c r="D6" t="s">
        <v>48</v>
      </c>
      <c r="E6">
        <f>9/53</f>
        <v>0.16981132075471697</v>
      </c>
      <c r="F6" t="s">
        <v>22</v>
      </c>
      <c r="G6" s="1">
        <v>1.28213199171637E-8</v>
      </c>
      <c r="H6" s="1">
        <v>2.9702724474762698E-7</v>
      </c>
      <c r="I6" s="1">
        <v>2.0694060217176601E-7</v>
      </c>
      <c r="J6" t="s">
        <v>23</v>
      </c>
      <c r="K6">
        <v>9</v>
      </c>
    </row>
  </sheetData>
  <sortState xmlns:xlrd2="http://schemas.microsoft.com/office/spreadsheetml/2017/richdata2" ref="A2:K6">
    <sortCondition descending="1" ref="E1:E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低表达组上调KEGG-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2025-02-13T07:50:09Z</dcterms:created>
  <dcterms:modified xsi:type="dcterms:W3CDTF">2025-02-13T08:30:40Z</dcterms:modified>
</cp:coreProperties>
</file>