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ggyxu/Desktop/🍩毕业论文20240129/🍩图和数据/单细胞/20250127 结果反馈/exp/CA/enrichment/未命名文件夹/"/>
    </mc:Choice>
  </mc:AlternateContent>
  <xr:revisionPtr revIDLastSave="0" documentId="13_ncr:1_{3F677F1E-FDE4-E64C-8814-AB542C19C7AC}" xr6:coauthVersionLast="47" xr6:coauthVersionMax="47" xr10:uidLastSave="{00000000-0000-0000-0000-000000000000}"/>
  <bookViews>
    <workbookView xWindow="160" yWindow="6900" windowWidth="28240" windowHeight="16180" activeTab="1" xr2:uid="{00000000-000D-0000-FFFF-FFFF00000000}"/>
  </bookViews>
  <sheets>
    <sheet name="低表达组上调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G10" i="2"/>
  <c r="G11" i="2"/>
  <c r="G9" i="2"/>
  <c r="G8" i="2"/>
  <c r="G4" i="2"/>
  <c r="G2" i="2"/>
  <c r="G3" i="2"/>
  <c r="G5" i="2"/>
  <c r="G7" i="2"/>
</calcChain>
</file>

<file path=xl/sharedStrings.xml><?xml version="1.0" encoding="utf-8"?>
<sst xmlns="http://schemas.openxmlformats.org/spreadsheetml/2006/main" count="3979" uniqueCount="1790">
  <si>
    <t>ONTOLOGY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</si>
  <si>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</si>
  <si>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</si>
  <si>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</si>
  <si>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</si>
  <si>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</si>
  <si>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</si>
  <si>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</si>
  <si>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</si>
  <si>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</si>
  <si>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GO:0097530</t>
  </si>
  <si>
    <t>BP</t>
  </si>
  <si>
    <t>granulocyte migration</t>
  </si>
  <si>
    <t>18/76</t>
  </si>
  <si>
    <t>158/18903</t>
  </si>
  <si>
    <t>CCL18/CXCL5/CCL3L3/CCL20/S100A8/CCL3/CXCL8/TREM1/S100A9/S100A12/CXCL2/CXCL3/IL1B/TNFAIP6/THBS1/CXCL1/CCL4/IL1A</t>
  </si>
  <si>
    <t>GO:0071621</t>
  </si>
  <si>
    <t>granulocyte chemotaxis</t>
  </si>
  <si>
    <t>17/76</t>
  </si>
  <si>
    <t>130/18903</t>
  </si>
  <si>
    <t>CCL18/CXCL5/CCL3L3/CCL20/S100A8/CCL3/CXCL8/TREM1/S100A9/S100A12/CXCL2/CXCL3/IL1B/TNFAIP6/THBS1/CXCL1/CCL4</t>
  </si>
  <si>
    <t>GO:1990266</t>
  </si>
  <si>
    <t>neutrophil migration</t>
  </si>
  <si>
    <t>CCL18/CXCL5/CCL3L3/CCL20/S100A8/CCL3/CXCL8/TREM1/S100A9/S100A12/CXCL2/CXCL3/IL1B/TNFAIP6/CXCL1/CCL4/IL1A</t>
  </si>
  <si>
    <t>GO:0030593</t>
  </si>
  <si>
    <t>neutrophil chemotaxis</t>
  </si>
  <si>
    <t>16/76</t>
  </si>
  <si>
    <t>106/18903</t>
  </si>
  <si>
    <t>CCL18/CXCL5/CCL3L3/CCL20/S100A8/CCL3/CXCL8/TREM1/S100A9/S100A12/CXCL2/CXCL3/IL1B/TNFAIP6/CXCL1/CCL4</t>
  </si>
  <si>
    <t>GO:0097529</t>
  </si>
  <si>
    <t>myeloid leukocyte migration</t>
  </si>
  <si>
    <t>19/76</t>
  </si>
  <si>
    <t>242/18903</t>
  </si>
  <si>
    <t>CCL18/CXCL5/CCL3L3/CCL20/S100A8/CCL3/CXCL8/TREM1/S100A9/S100A12/CXCL2/CXCL3/IL1B/TNFAIP6/THBS1/CXCL1/IL6/CCL4/IL1A</t>
  </si>
  <si>
    <t>GO:0030595</t>
  </si>
  <si>
    <t>leukocyte chemotaxis</t>
  </si>
  <si>
    <t>240/18903</t>
  </si>
  <si>
    <t>CCL18/CXCL5/CCL3L3/CCL20/S100A8/CCL3/CXCL8/TREM1/S100A9/S100A12/CXCL2/CXCL3/IL1B/TNFAIP6/THBS1/CXCL1/IL6/CCL4</t>
  </si>
  <si>
    <t>GO:0006959</t>
  </si>
  <si>
    <t>humoral immune response</t>
  </si>
  <si>
    <t>320/18903</t>
  </si>
  <si>
    <t>IGLC3/IGLC2/IGHG4/IGKC/IGHG1/IGHG3/CXCL5/CXCL8/TREM1/S100A9/S100A12/CXCL2/CXCL3/IL1B/FCN1/CXCL1/CFD/IL6/SLC11A1</t>
  </si>
  <si>
    <t>GO:0032496</t>
  </si>
  <si>
    <t>response to lipopolysaccharide</t>
  </si>
  <si>
    <t>339/18903</t>
  </si>
  <si>
    <t>CXCL5/SOD2/S100A8/CCL3/CXCL8/S100A9/PTGS2/CXCL2/TNIP3/CXCL3/IL1B/CXCL1/IL6/SLC11A1/TNFAIP3/IL1A/JUND/TNIP1/TNFRSF1B</t>
  </si>
  <si>
    <t>GO:0050900</t>
  </si>
  <si>
    <t>leukocyte migration</t>
  </si>
  <si>
    <t>20/76</t>
  </si>
  <si>
    <t>398/18903</t>
  </si>
  <si>
    <t>CCL18/CXCL5/CCL3L3/CCL20/S100A8/CCL3/CXCL8/TREM1/S100A9/S100A12/CXCL2/CXCL3/IL1B/TNFAIP6/THBS1/CXCL1/IL6/CCL4/IL1A/ABL2</t>
  </si>
  <si>
    <t>GO:0002237</t>
  </si>
  <si>
    <t>response to molecule of bacterial origin</t>
  </si>
  <si>
    <t>360/18903</t>
  </si>
  <si>
    <t>GO:0060326</t>
  </si>
  <si>
    <t>cell chemotaxis</t>
  </si>
  <si>
    <t>319/18903</t>
  </si>
  <si>
    <t>GO:0019221</t>
  </si>
  <si>
    <t>cytokine-mediated signaling pathway</t>
  </si>
  <si>
    <t>496/18903</t>
  </si>
  <si>
    <t>CCL18/CXCL5/CCL3L3/CCL20/IL1RN/CCL3/CXCL8/CD44/EREG/CXCL2/CXCL3/IL1B/CXCL1/IL6/CCL4/TNFAIP3/IL1A/TNFRSF1B/HIF1A</t>
  </si>
  <si>
    <t>GO:0070098</t>
  </si>
  <si>
    <t>chemokine-mediated signaling pathway</t>
  </si>
  <si>
    <t>11/76</t>
  </si>
  <si>
    <t>90/18903</t>
  </si>
  <si>
    <t>CCL18/CXCL5/CCL3L3/CCL20/CCL3/CXCL8/CXCL2/CXCL3/CXCL1/CCL4/HIF1A</t>
  </si>
  <si>
    <t>GO:1990868</t>
  </si>
  <si>
    <t>response to chemokine</t>
  </si>
  <si>
    <t>98/18903</t>
  </si>
  <si>
    <t>GO:1990869</t>
  </si>
  <si>
    <t>cellular response to chemokine</t>
  </si>
  <si>
    <t>GO:0042742</t>
  </si>
  <si>
    <t>defense response to bacterium</t>
  </si>
  <si>
    <t>382/18903</t>
  </si>
  <si>
    <t>IGLC3/IGLC2/IGHG4/IGKC/IGHG1/IGHG3/CCL20/S100A8/RNASE1/TREM1/S100A9/S100A12/IL1B/IL6/SLC11A1/CLEC4E</t>
  </si>
  <si>
    <t>GO:0071222</t>
  </si>
  <si>
    <t>cellular response to lipopolysaccharide</t>
  </si>
  <si>
    <t>13/76</t>
  </si>
  <si>
    <t>222/18903</t>
  </si>
  <si>
    <t>CXCL5/CCL3/CXCL8/CXCL2/TNIP3/CXCL3/IL1B/CXCL1/IL6/TNFAIP3/IL1A/TNIP1/TNFRSF1B</t>
  </si>
  <si>
    <t>GO:0071219</t>
  </si>
  <si>
    <t>cellular response to molecule of bacterial origin</t>
  </si>
  <si>
    <t>234/18903</t>
  </si>
  <si>
    <t>GO:0071347</t>
  </si>
  <si>
    <t>cellular response to interleukin-1</t>
  </si>
  <si>
    <t>10/76</t>
  </si>
  <si>
    <t>111/18903</t>
  </si>
  <si>
    <t>CCL18/CCL3L3/CCL20/IL1RN/CCL3/CXCL8/IL1B/IL6/CCL4/HIF1A</t>
  </si>
  <si>
    <t>GO:0071216</t>
  </si>
  <si>
    <t>cellular response to biotic stimulus</t>
  </si>
  <si>
    <t>261/18903</t>
  </si>
  <si>
    <t>GO:0070555</t>
  </si>
  <si>
    <t>response to interleukin-1</t>
  </si>
  <si>
    <t>141/18903</t>
  </si>
  <si>
    <t>GO:2001233</t>
  </si>
  <si>
    <t>regulation of apoptotic signaling pathway</t>
  </si>
  <si>
    <t>374/18903</t>
  </si>
  <si>
    <t>SOD2/S100A8/CD44/S100A9/INHBA/PTGS2/IL1B/THBS1/NUPR1/TNFAIP3/IL1A/PLAUR/HIF1A</t>
  </si>
  <si>
    <t>GO:0006956</t>
  </si>
  <si>
    <t>complement activation</t>
  </si>
  <si>
    <t>9/76</t>
  </si>
  <si>
    <t>132/18903</t>
  </si>
  <si>
    <t>IGLC3/IGLC2/IGHG4/IGKC/IGHG1/IGHG3/IL1B/FCN1/CFD</t>
  </si>
  <si>
    <t>GO:0032103</t>
  </si>
  <si>
    <t>positive regulation of response to external stimulus</t>
  </si>
  <si>
    <t>14/76</t>
  </si>
  <si>
    <t>464/18903</t>
  </si>
  <si>
    <t>S100A8/CCL3/CXCL8/EREG/S100A9/S100A12/PTGS2/IL1B/FCN1/THBS1/IL6/CCL4/NUPR1/TNIP1</t>
  </si>
  <si>
    <t>GO:0050729</t>
  </si>
  <si>
    <t>positive regulation of inflammatory response</t>
  </si>
  <si>
    <t>154/18903</t>
  </si>
  <si>
    <t>S100A8/CCL3/S100A9/S100A12/PTGS2/IL1B/IL6/NUPR1/TNIP1</t>
  </si>
  <si>
    <t>GO:0002548</t>
  </si>
  <si>
    <t>monocyte chemotaxis</t>
  </si>
  <si>
    <t>7/76</t>
  </si>
  <si>
    <t>71/18903</t>
  </si>
  <si>
    <t>CCL18/CCL3L3/CCL20/CCL3/S100A12/IL6/CCL4</t>
  </si>
  <si>
    <t>GO:0150077</t>
  </si>
  <si>
    <t>regulation of neuroinflammatory response</t>
  </si>
  <si>
    <t>6/76</t>
  </si>
  <si>
    <t>41/18903</t>
  </si>
  <si>
    <t>CCL3/PTGS2/IL1B/IL6/NUPR1/TNFRSF1B</t>
  </si>
  <si>
    <t>GO:0002526</t>
  </si>
  <si>
    <t>acute inflammatory response</t>
  </si>
  <si>
    <t>8/76</t>
  </si>
  <si>
    <t>114/18903</t>
  </si>
  <si>
    <t>IGHG1/S100A8/TREM1/PTGS2/IL1B/IL6/NUPR1/IL1A</t>
  </si>
  <si>
    <t>GO:0030728</t>
  </si>
  <si>
    <t>ovulation</t>
  </si>
  <si>
    <t>5/76</t>
  </si>
  <si>
    <t>22/18903</t>
  </si>
  <si>
    <t>EREG/INHBA/PTGS2/TNFAIP6/MMP19</t>
  </si>
  <si>
    <t>GO:0002696</t>
  </si>
  <si>
    <t>positive regulation of leukocyte activation</t>
  </si>
  <si>
    <t>450/18903</t>
  </si>
  <si>
    <t>IGLC3/IGLC2/IGHG4/IGKC/IGHG1/IGHG3/CCL3/IL1B/THBS1/IL6/IL1A/JUND/ABL2</t>
  </si>
  <si>
    <t>GO:0061844</t>
  </si>
  <si>
    <t>antimicrobial humoral immune response mediated by antimicrobial peptide</t>
  </si>
  <si>
    <t>81/18903</t>
  </si>
  <si>
    <t>CXCL5/CXCL8/S100A9/S100A12/CXCL2/CXCL3/CXCL1</t>
  </si>
  <si>
    <t>GO:0019730</t>
  </si>
  <si>
    <t>antimicrobial humoral response</t>
  </si>
  <si>
    <t>125/18903</t>
  </si>
  <si>
    <t>CXCL5/CXCL8/S100A9/S100A12/CXCL2/CXCL3/CXCL1/SLC11A1</t>
  </si>
  <si>
    <t>GO:0031349</t>
  </si>
  <si>
    <t>positive regulation of defense response</t>
  </si>
  <si>
    <t>307/18903</t>
  </si>
  <si>
    <t>S100A8/CCL3/EREG/S100A9/S100A12/PTGS2/IL1B/FCN1/IL6/NUPR1/TNIP1</t>
  </si>
  <si>
    <t>GO:0050867</t>
  </si>
  <si>
    <t>positive regulation of cell activation</t>
  </si>
  <si>
    <t>467/18903</t>
  </si>
  <si>
    <t>GO:0034612</t>
  </si>
  <si>
    <t>response to tumor necrosis factor</t>
  </si>
  <si>
    <t>254/18903</t>
  </si>
  <si>
    <t>CCL18/CCL3L3/CCL20/CCL3/CXCL8/PTGS2/THBS1/CCL4/TNFAIP3/TNFRSF1B</t>
  </si>
  <si>
    <t>GO:0050727</t>
  </si>
  <si>
    <t>regulation of inflammatory response</t>
  </si>
  <si>
    <t>12/76</t>
  </si>
  <si>
    <t>414/18903</t>
  </si>
  <si>
    <t>S100A8/CCL3/S100A9/S100A12/PTGS2/IL1B/TNFAIP6/IL6/NUPR1/TNFAIP3/TNIP1/TNFRSF1B</t>
  </si>
  <si>
    <t>GO:0010575</t>
  </si>
  <si>
    <t>positive regulation of vascular endothelial growth factor production</t>
  </si>
  <si>
    <t>29/18903</t>
  </si>
  <si>
    <t>PTGS2/IL1B/IL6/IL1A/HIF1A</t>
  </si>
  <si>
    <t>GO:0055076</t>
  </si>
  <si>
    <t>transition metal ion homeostasis</t>
  </si>
  <si>
    <t>143/18903</t>
  </si>
  <si>
    <t>SOD2/S100A8/FTH1/MT2A/SLC25A37/S100A9/SLC11A1/HIF1A</t>
  </si>
  <si>
    <t>GO:0050864</t>
  </si>
  <si>
    <t>regulation of B cell activation</t>
  </si>
  <si>
    <t>204/18903</t>
  </si>
  <si>
    <t>IGLC3/IGLC2/IGHG4/IGKC/IGHG1/IGHG3/INHBA/IL6/TNFAIP3</t>
  </si>
  <si>
    <t>GO:0071674</t>
  </si>
  <si>
    <t>mononuclear cell migration</t>
  </si>
  <si>
    <t>206/18903</t>
  </si>
  <si>
    <t>CCL18/CCL3L3/CCL20/CCL3/S100A12/THBS1/IL6/CCL4/ABL2</t>
  </si>
  <si>
    <t>GO:0002687</t>
  </si>
  <si>
    <t>positive regulation of leukocyte migration</t>
  </si>
  <si>
    <t>148/18903</t>
  </si>
  <si>
    <t>CCL20/CCL3/CXCL8/THBS1/IL6/CCL4/IL1A/ABL2</t>
  </si>
  <si>
    <t>GO:0070486</t>
  </si>
  <si>
    <t>leukocyte aggregation</t>
  </si>
  <si>
    <t>4/76</t>
  </si>
  <si>
    <t>13/18903</t>
  </si>
  <si>
    <t>S100A8/CD44/S100A9/IL1B</t>
  </si>
  <si>
    <t>GO:0042060</t>
  </si>
  <si>
    <t>wound healing</t>
  </si>
  <si>
    <t>442/18903</t>
  </si>
  <si>
    <t>TIMP1/S100A8/CD44/EREG/THBS1/SLC7A11/IL6/SLC11A1/TNFAIP3/IL1A/PLAUR/HIF1A</t>
  </si>
  <si>
    <t>GO:0006910</t>
  </si>
  <si>
    <t>phagocytosis, recognition</t>
  </si>
  <si>
    <t>103/18903</t>
  </si>
  <si>
    <t>IGLC3/IGLC2/IGHG4/IGKC/IGHG1/IGHG3/FCN1</t>
  </si>
  <si>
    <t>GO:0002460</t>
  </si>
  <si>
    <t>adaptive immune response based on somatic recombination of immune receptors built from immunoglobulin superfamily domains</t>
  </si>
  <si>
    <t>375/18903</t>
  </si>
  <si>
    <t>IGLC3/IGLC2/IGHG4/IGKC/IGHG1/IGHG3/IL1B/IL6/SLC11A1/TNFAIP3/TNFRSF1B</t>
  </si>
  <si>
    <t>GO:0097193</t>
  </si>
  <si>
    <t>intrinsic apoptotic signaling pathway</t>
  </si>
  <si>
    <t>298/18903</t>
  </si>
  <si>
    <t>SOD2/S100A8/CD44/S100A9/PTGS2/NUPR1/BCL2A1/TNFRSF1B/PLAUR/HIF1A</t>
  </si>
  <si>
    <t>GO:0002685</t>
  </si>
  <si>
    <t>regulation of leukocyte migration</t>
  </si>
  <si>
    <t>231/18903</t>
  </si>
  <si>
    <t>CCL20/CCL3/CXCL8/TNFAIP6/THBS1/IL6/CCL4/IL1A/ABL2</t>
  </si>
  <si>
    <t>GO:2001234</t>
  </si>
  <si>
    <t>negative regulation of apoptotic signaling pathway</t>
  </si>
  <si>
    <t>233/18903</t>
  </si>
  <si>
    <t>SOD2/CD44/PTGS2/IL1B/THBS1/TNFAIP3/IL1A/PLAUR/HIF1A</t>
  </si>
  <si>
    <t>GO:0071356</t>
  </si>
  <si>
    <t>cellular response to tumor necrosis factor</t>
  </si>
  <si>
    <t>CCL18/CCL3L3/CCL20/CCL3/CXCL8/THBS1/CCL4/TNFAIP3/TNFRSF1B</t>
  </si>
  <si>
    <t>GO:2001242</t>
  </si>
  <si>
    <t>regulation of intrinsic apoptotic signaling pathway</t>
  </si>
  <si>
    <t>172/18903</t>
  </si>
  <si>
    <t>SOD2/S100A8/CD44/S100A9/PTGS2/NUPR1/PLAUR/HIF1A</t>
  </si>
  <si>
    <t>GO:0150076</t>
  </si>
  <si>
    <t>neuroinflammatory response</t>
  </si>
  <si>
    <t>73/18903</t>
  </si>
  <si>
    <t>GO:0006909</t>
  </si>
  <si>
    <t>phagocytosis</t>
  </si>
  <si>
    <t>314/18903</t>
  </si>
  <si>
    <t>IGLC3/IGLC2/IGHG4/IGKC/IGHG1/IGHG3/IL1B/FCN1/THBS1/SLC11A1</t>
  </si>
  <si>
    <t>GO:0070372</t>
  </si>
  <si>
    <t>regulation of ERK1 and ERK2 cascade</t>
  </si>
  <si>
    <t>315/18903</t>
  </si>
  <si>
    <t>CCL18/CCL3L3/CCL20/CCL3/CD44/INHBA/IL1B/CCL4/IL1A/TNIP1</t>
  </si>
  <si>
    <t>GO:0043410</t>
  </si>
  <si>
    <t>positive regulation of MAPK cascade</t>
  </si>
  <si>
    <t>CCL18/CCL3L3/CCL20/CCL3/CD44/S100A12/INHBA/IL1B/THBS1/IL6/CCL4/IL1A</t>
  </si>
  <si>
    <t>GO:0150078</t>
  </si>
  <si>
    <t>positive regulation of neuroinflammatory response</t>
  </si>
  <si>
    <t>18/18903</t>
  </si>
  <si>
    <t>CCL3/IL1B/IL6/NUPR1</t>
  </si>
  <si>
    <t>GO:0006911</t>
  </si>
  <si>
    <t>phagocytosis, engulfment</t>
  </si>
  <si>
    <t>127/18903</t>
  </si>
  <si>
    <t>IGLC3/IGLC2/IGHG4/IGKC/IGHG1/IGHG3/THBS1</t>
  </si>
  <si>
    <t>GO:0002544</t>
  </si>
  <si>
    <t>chronic inflammatory response</t>
  </si>
  <si>
    <t>19/18903</t>
  </si>
  <si>
    <t>S100A8/S100A9/THBS1/TNFAIP3</t>
  </si>
  <si>
    <t>GO:0070371</t>
  </si>
  <si>
    <t>ERK1 and ERK2 cascade</t>
  </si>
  <si>
    <t>340/18903</t>
  </si>
  <si>
    <t>GO:0099024</t>
  </si>
  <si>
    <t>plasma membrane invagination</t>
  </si>
  <si>
    <t>136/18903</t>
  </si>
  <si>
    <t>GO:0042113</t>
  </si>
  <si>
    <t>B cell activation</t>
  </si>
  <si>
    <t>350/18903</t>
  </si>
  <si>
    <t>IGLC3/IGLC2/IGHG4/IGKC/IGHG1/IGHG3/INHBA/IL6/TNFAIP3/KLF6</t>
  </si>
  <si>
    <t>GO:0010324</t>
  </si>
  <si>
    <t>membrane invagination</t>
  </si>
  <si>
    <t>GO:0002443</t>
  </si>
  <si>
    <t>leukocyte mediated immunity</t>
  </si>
  <si>
    <t>463/18903</t>
  </si>
  <si>
    <t>IGLC3/IGLC2/IGHG4/IGKC/IGHG1/IGHG3/CCL3/TREM1/IL1B/IL6/TNFRSF1B</t>
  </si>
  <si>
    <t>GO:0050871</t>
  </si>
  <si>
    <t>positive regulation of B cell activation</t>
  </si>
  <si>
    <t>155/18903</t>
  </si>
  <si>
    <t>IGLC3/IGLC2/IGHG4/IGKC/IGHG1/IGHG3/IL6</t>
  </si>
  <si>
    <t>GO:0070374</t>
  </si>
  <si>
    <t>positive regulation of ERK1 and ERK2 cascade</t>
  </si>
  <si>
    <t>223/18903</t>
  </si>
  <si>
    <t>CCL18/CCL3L3/CCL20/CCL3/CD44/INHBA/CCL4/IL1A</t>
  </si>
  <si>
    <t>GO:0001819</t>
  </si>
  <si>
    <t>positive regulation of cytokine production</t>
  </si>
  <si>
    <t>486/18903</t>
  </si>
  <si>
    <t>CCL3/EREG/PTGS2/IL1B/FCN1/THBS1/IL6/SLC11A1/CLEC4E/IL1A/HIF1A</t>
  </si>
  <si>
    <t>GO:0010574</t>
  </si>
  <si>
    <t>regulation of vascular endothelial growth factor production</t>
  </si>
  <si>
    <t>59/18903</t>
  </si>
  <si>
    <t>GO:0006958</t>
  </si>
  <si>
    <t>complement activation, classical pathway</t>
  </si>
  <si>
    <t>IGLC3/IGLC2/IGHG4/IGKC/IGHG1/IGHG3</t>
  </si>
  <si>
    <t>GO:0051251</t>
  </si>
  <si>
    <t>positive regulation of lymphocyte activation</t>
  </si>
  <si>
    <t>400/18903</t>
  </si>
  <si>
    <t>IGLC3/IGLC2/IGHG4/IGKC/IGHG1/IGHG3/IL1B/IL6/IL1A/ABL2</t>
  </si>
  <si>
    <t>GO:0032963</t>
  </si>
  <si>
    <t>collagen metabolic process</t>
  </si>
  <si>
    <t>107/18903</t>
  </si>
  <si>
    <t>INHBA/MMP1/IL6/CTSL/MMP19/HIF1A</t>
  </si>
  <si>
    <t>GO:0007568</t>
  </si>
  <si>
    <t>aging</t>
  </si>
  <si>
    <t>169/18903</t>
  </si>
  <si>
    <t>TIMP1/SOD2/INHBA/PTGS2/ATP2B1/JUND/TNFRSF1B</t>
  </si>
  <si>
    <t>GO:0010573</t>
  </si>
  <si>
    <t>vascular endothelial growth factor production</t>
  </si>
  <si>
    <t>63/18903</t>
  </si>
  <si>
    <t>GO:0048247</t>
  </si>
  <si>
    <t>lymphocyte chemotaxis</t>
  </si>
  <si>
    <t>65/18903</t>
  </si>
  <si>
    <t>CCL18/CCL3L3/CCL20/CCL3/CCL4</t>
  </si>
  <si>
    <t>GO:0006875</t>
  </si>
  <si>
    <t>cellular metal ion homeostasis</t>
  </si>
  <si>
    <t>420/18903</t>
  </si>
  <si>
    <t>S100A8/FTH1/CCL3/MT2A/S100A9/SLC11A1/ATP2B1/ATP13A3/IL1A/HIF1A</t>
  </si>
  <si>
    <t>GO:0046916</t>
  </si>
  <si>
    <t>cellular transition metal ion homeostasis</t>
  </si>
  <si>
    <t>116/18903</t>
  </si>
  <si>
    <t>S100A8/FTH1/MT2A/S100A9/SLC11A1/HIF1A</t>
  </si>
  <si>
    <t>GO:0009636</t>
  </si>
  <si>
    <t>response to toxic substance</t>
  </si>
  <si>
    <t>250/18903</t>
  </si>
  <si>
    <t>SOD2/CCL3/MT2A/S100A9/PTGS2/SLC7A11/CCL4/NUPR1</t>
  </si>
  <si>
    <t>GO:0002455</t>
  </si>
  <si>
    <t>humoral immune response mediated by circulating immunoglobulin</t>
  </si>
  <si>
    <t>119/18903</t>
  </si>
  <si>
    <t>GO:0001660</t>
  </si>
  <si>
    <t>fever generation</t>
  </si>
  <si>
    <t>3/76</t>
  </si>
  <si>
    <t>11/18903</t>
  </si>
  <si>
    <t>PTGS2/IL1B/IL1A</t>
  </si>
  <si>
    <t>GO:0072676</t>
  </si>
  <si>
    <t>lymphocyte migration</t>
  </si>
  <si>
    <t>124/18903</t>
  </si>
  <si>
    <t>CCL18/CCL3L3/CCL20/CCL3/CCL4/ABL2</t>
  </si>
  <si>
    <t>GO:0002688</t>
  </si>
  <si>
    <t>regulation of leukocyte chemotaxis</t>
  </si>
  <si>
    <t>CCL3/CXCL8/TNFAIP6/THBS1/IL6/CCL4</t>
  </si>
  <si>
    <t>GO:0010038</t>
  </si>
  <si>
    <t>response to metal ion</t>
  </si>
  <si>
    <t>SOD2/S100A8/MT2A/PTGS2/THBS1/FOSB/IL1A/JUND/HIF1A</t>
  </si>
  <si>
    <t>GO:0050853</t>
  </si>
  <si>
    <t>B cell receptor signaling pathway</t>
  </si>
  <si>
    <t>GO:0002449</t>
  </si>
  <si>
    <t>lymphocyte mediated immunity</t>
  </si>
  <si>
    <t>367/18903</t>
  </si>
  <si>
    <t>IGLC3/IGLC2/IGHG4/IGKC/IGHG1/IGHG3/IL1B/IL6/TNFRSF1B</t>
  </si>
  <si>
    <t>GO:0042541</t>
  </si>
  <si>
    <t>hemoglobin biosynthetic process</t>
  </si>
  <si>
    <t>SLC25A37/INHBA/HIF1A</t>
  </si>
  <si>
    <t>GO:0034341</t>
  </si>
  <si>
    <t>response to interferon-gamma</t>
  </si>
  <si>
    <t>140/18903</t>
  </si>
  <si>
    <t>CCL18/CCL3L3/CCL20/CCL3/SLC11A1/CCL4</t>
  </si>
  <si>
    <t>GO:0014002</t>
  </si>
  <si>
    <t>astrocyte development</t>
  </si>
  <si>
    <t>42/18903</t>
  </si>
  <si>
    <t>S100A8/S100A9/IL1B/IL6</t>
  </si>
  <si>
    <t>GO:2000403</t>
  </si>
  <si>
    <t>positive regulation of lymphocyte migration</t>
  </si>
  <si>
    <t>CCL20/CCL3/CCL4/ABL2</t>
  </si>
  <si>
    <t>GO:0001666</t>
  </si>
  <si>
    <t>response to hypoxia</t>
  </si>
  <si>
    <t>296/18903</t>
  </si>
  <si>
    <t>SOD2/PTGS2/THBS1/BNIP3L/MALAT1/IL1A/JUND/HIF1A</t>
  </si>
  <si>
    <t>GO:0055072</t>
  </si>
  <si>
    <t>iron ion homeostasis</t>
  </si>
  <si>
    <t>88/18903</t>
  </si>
  <si>
    <t>SOD2/FTH1/SLC25A37/SLC11A1/HIF1A</t>
  </si>
  <si>
    <t>GO:0002253</t>
  </si>
  <si>
    <t>activation of immune response</t>
  </si>
  <si>
    <t>397/18903</t>
  </si>
  <si>
    <t>GO:0030003</t>
  </si>
  <si>
    <t>cellular cation homeostasis</t>
  </si>
  <si>
    <t>499/18903</t>
  </si>
  <si>
    <t>GO:0097191</t>
  </si>
  <si>
    <t>extrinsic apoptotic signaling pathway</t>
  </si>
  <si>
    <t>224/18903</t>
  </si>
  <si>
    <t>INHBA/IL1B/THBS1/BCL2A1/TNFAIP3/IL1A/TNFRSF1B</t>
  </si>
  <si>
    <t>GO:0036293</t>
  </si>
  <si>
    <t>response to decreased oxygen levels</t>
  </si>
  <si>
    <t>309/18903</t>
  </si>
  <si>
    <t>GO:0140353</t>
  </si>
  <si>
    <t>lipid export from cell</t>
  </si>
  <si>
    <t>47/18903</t>
  </si>
  <si>
    <t>INHBA/PTGS2/IL1B/IL1A</t>
  </si>
  <si>
    <t>GO:0008037</t>
  </si>
  <si>
    <t>cell recognition</t>
  </si>
  <si>
    <t>230/18903</t>
  </si>
  <si>
    <t>GO:0020027</t>
  </si>
  <si>
    <t>hemoglobin metabolic process</t>
  </si>
  <si>
    <t>17/18903</t>
  </si>
  <si>
    <t>GO:0031649</t>
  </si>
  <si>
    <t>heat generation</t>
  </si>
  <si>
    <t>GO:0090594</t>
  </si>
  <si>
    <t>inflammatory response to wounding</t>
  </si>
  <si>
    <t>TIMP1/IL1A/HIF1A</t>
  </si>
  <si>
    <t>GO:0006953</t>
  </si>
  <si>
    <t>acute-phase response</t>
  </si>
  <si>
    <t>48/18903</t>
  </si>
  <si>
    <t>PTGS2/IL1B/IL6/IL1A</t>
  </si>
  <si>
    <t>GO:0007159</t>
  </si>
  <si>
    <t>leukocyte cell-cell adhesion</t>
  </si>
  <si>
    <t>S100A8/CD44/S100A9/IL1B/IL6/OLR1/IL1A/TNIP1/ABL2</t>
  </si>
  <si>
    <t>GO:0002690</t>
  </si>
  <si>
    <t>positive regulation of leukocyte chemotaxis</t>
  </si>
  <si>
    <t>97/18903</t>
  </si>
  <si>
    <t>CCL3/CXCL8/THBS1/IL6/CCL4</t>
  </si>
  <si>
    <t>GO:0002274</t>
  </si>
  <si>
    <t>myeloid leukocyte activation</t>
  </si>
  <si>
    <t>237/18903</t>
  </si>
  <si>
    <t>CCL3/CXCL8/S100A12/THBS1/IL6/SLC11A1/JUND</t>
  </si>
  <si>
    <t>GO:0032310</t>
  </si>
  <si>
    <t>prostaglandin secretion</t>
  </si>
  <si>
    <t>GO:0022602</t>
  </si>
  <si>
    <t>ovulation cycle process</t>
  </si>
  <si>
    <t>51/18903</t>
  </si>
  <si>
    <t>EREG/INHBA/TNFAIP6/MMP19</t>
  </si>
  <si>
    <t>GO:2001243</t>
  </si>
  <si>
    <t>negative regulation of intrinsic apoptotic signaling pathway</t>
  </si>
  <si>
    <t>101/18903</t>
  </si>
  <si>
    <t>SOD2/CD44/PTGS2/PLAUR/HIF1A</t>
  </si>
  <si>
    <t>GO:0008630</t>
  </si>
  <si>
    <t>intrinsic apoptotic signaling pathway in response to DNA damage</t>
  </si>
  <si>
    <t>102/18903</t>
  </si>
  <si>
    <t>SOD2/CD44/NUPR1/BCL2A1/TNFRSF1B</t>
  </si>
  <si>
    <t>GO:0070482</t>
  </si>
  <si>
    <t>response to oxygen levels</t>
  </si>
  <si>
    <t>337/18903</t>
  </si>
  <si>
    <t>GO:0008585</t>
  </si>
  <si>
    <t>female gonad development</t>
  </si>
  <si>
    <t>105/18903</t>
  </si>
  <si>
    <t>EREG/INHBA/TNFAIP6/NUPR1/MMP19</t>
  </si>
  <si>
    <t>GO:0002768</t>
  </si>
  <si>
    <t>immune response-regulating cell surface receptor signaling pathway</t>
  </si>
  <si>
    <t>341/18903</t>
  </si>
  <si>
    <t>IGLC3/IGLC2/IGHG4/IGKC/IGHG1/IGHG3/FCN1/CLEC4E</t>
  </si>
  <si>
    <t>GO:0015732</t>
  </si>
  <si>
    <t>prostaglandin transport</t>
  </si>
  <si>
    <t>20/18903</t>
  </si>
  <si>
    <t>GO:0097709</t>
  </si>
  <si>
    <t>connective tissue replacement</t>
  </si>
  <si>
    <t>GO:0048660</t>
  </si>
  <si>
    <t>regulation of smooth muscle cell proliferation</t>
  </si>
  <si>
    <t>175/18903</t>
  </si>
  <si>
    <t>SOD2/EREG/PTGS2/THBS1/IL6/TNFAIP3</t>
  </si>
  <si>
    <t>GO:0050832</t>
  </si>
  <si>
    <t>defense response to fungus</t>
  </si>
  <si>
    <t>56/18903</t>
  </si>
  <si>
    <t>S100A8/S100A9/S100A12/CLEC4E</t>
  </si>
  <si>
    <t>GO:0042116</t>
  </si>
  <si>
    <t>macrophage activation</t>
  </si>
  <si>
    <t>109/18903</t>
  </si>
  <si>
    <t>CCL3/THBS1/IL6/SLC11A1/JUND</t>
  </si>
  <si>
    <t>GO:0046545</t>
  </si>
  <si>
    <t>development of primary female sexual characteristics</t>
  </si>
  <si>
    <t>GO:0045765</t>
  </si>
  <si>
    <t>regulation of angiogenesis</t>
  </si>
  <si>
    <t>349/18903</t>
  </si>
  <si>
    <t>CXCL8/IL1B/BTG1/THBS1/IL6/TNFAIP3/IL1A/HIF1A</t>
  </si>
  <si>
    <t>GO:0048659</t>
  </si>
  <si>
    <t>smooth muscle cell proliferation</t>
  </si>
  <si>
    <t>179/18903</t>
  </si>
  <si>
    <t>GO:0001541</t>
  </si>
  <si>
    <t>ovarian follicle development</t>
  </si>
  <si>
    <t>58/18903</t>
  </si>
  <si>
    <t>GO:1901342</t>
  </si>
  <si>
    <t>regulation of vasculature development</t>
  </si>
  <si>
    <t>355/18903</t>
  </si>
  <si>
    <t>GO:0045766</t>
  </si>
  <si>
    <t>positive regulation of angiogenesis</t>
  </si>
  <si>
    <t>187/18903</t>
  </si>
  <si>
    <t>CXCL8/IL1B/BTG1/THBS1/IL1A/HIF1A</t>
  </si>
  <si>
    <t>GO:1904018</t>
  </si>
  <si>
    <t>positive regulation of vasculature development</t>
  </si>
  <si>
    <t>GO:0043030</t>
  </si>
  <si>
    <t>regulation of macrophage activation</t>
  </si>
  <si>
    <t>62/18903</t>
  </si>
  <si>
    <t>CCL3/THBS1/IL6/JUND</t>
  </si>
  <si>
    <t>GO:0071346</t>
  </si>
  <si>
    <t>cellular response to interferon-gamma</t>
  </si>
  <si>
    <t>118/18903</t>
  </si>
  <si>
    <t>GO:0006925</t>
  </si>
  <si>
    <t>inflammatory cell apoptotic process</t>
  </si>
  <si>
    <t>24/18903</t>
  </si>
  <si>
    <t>SLC7A11/IL6/CTSL</t>
  </si>
  <si>
    <t>GO:0051043</t>
  </si>
  <si>
    <t>regulation of membrane protein ectodomain proteolysis</t>
  </si>
  <si>
    <t>TIMP1/IL1B/TNFRSF1B</t>
  </si>
  <si>
    <t>GO:0034114</t>
  </si>
  <si>
    <t>regulation of heterotypic cell-cell adhesion</t>
  </si>
  <si>
    <t>25/18903</t>
  </si>
  <si>
    <t>IL1RN/CD44/IL1B</t>
  </si>
  <si>
    <t>GO:0071675</t>
  </si>
  <si>
    <t>regulation of mononuclear cell migration</t>
  </si>
  <si>
    <t>123/18903</t>
  </si>
  <si>
    <t>CCL20/CCL3/THBS1/CCL4/ABL2</t>
  </si>
  <si>
    <t>GO:0046660</t>
  </si>
  <si>
    <t>female sex differentiation</t>
  </si>
  <si>
    <t>GO:0051238</t>
  </si>
  <si>
    <t>sequestering of metal ion</t>
  </si>
  <si>
    <t>26/18903</t>
  </si>
  <si>
    <t>S100A8/FTH1/S100A9</t>
  </si>
  <si>
    <t>GO:0009620</t>
  </si>
  <si>
    <t>response to fungus</t>
  </si>
  <si>
    <t>67/18903</t>
  </si>
  <si>
    <t>GO:0038034</t>
  </si>
  <si>
    <t>signal transduction in absence of ligand</t>
  </si>
  <si>
    <t>68/18903</t>
  </si>
  <si>
    <t>INHBA/IL1B/BCL2A1/IL1A</t>
  </si>
  <si>
    <t>GO:0097192</t>
  </si>
  <si>
    <t>extrinsic apoptotic signaling pathway in absence of ligand</t>
  </si>
  <si>
    <t>GO:0046683</t>
  </si>
  <si>
    <t>response to organophosphorus</t>
  </si>
  <si>
    <t>128/18903</t>
  </si>
  <si>
    <t>AQP9/PTGS2/IL1B/FOSB/MMP19</t>
  </si>
  <si>
    <t>GO:2000401</t>
  </si>
  <si>
    <t>regulation of lymphocyte migration</t>
  </si>
  <si>
    <t>69/18903</t>
  </si>
  <si>
    <t>GO:0043281</t>
  </si>
  <si>
    <t>regulation of cysteine-type endopeptidase activity involved in apoptotic process</t>
  </si>
  <si>
    <t>205/18903</t>
  </si>
  <si>
    <t>S100A8/CD44/S100A9/PTGS2/THBS1/PLAUR</t>
  </si>
  <si>
    <t>GO:0042886</t>
  </si>
  <si>
    <t>amide transport</t>
  </si>
  <si>
    <t>IL1RN/S100A8/AQP9/IL1B/SLC7A11/IL6/HIF1A</t>
  </si>
  <si>
    <t>GO:0002675</t>
  </si>
  <si>
    <t>positive regulation of acute inflammatory response</t>
  </si>
  <si>
    <t>28/18903</t>
  </si>
  <si>
    <t>PTGS2/IL1B/IL6</t>
  </si>
  <si>
    <t>GO:0042698</t>
  </si>
  <si>
    <t>ovulation cycle</t>
  </si>
  <si>
    <t>72/18903</t>
  </si>
  <si>
    <t>GO:2001235</t>
  </si>
  <si>
    <t>positive regulation of apoptotic signaling pathway</t>
  </si>
  <si>
    <t>135/18903</t>
  </si>
  <si>
    <t>S100A8/S100A9/INHBA/THBS1/NUPR1</t>
  </si>
  <si>
    <t>GO:0071677</t>
  </si>
  <si>
    <t>positive regulation of mononuclear cell migration</t>
  </si>
  <si>
    <t>GO:0016064</t>
  </si>
  <si>
    <t>immunoglobulin mediated immune response</t>
  </si>
  <si>
    <t>215/18903</t>
  </si>
  <si>
    <t>GO:0044403</t>
  </si>
  <si>
    <t>biological process involved in symbiotic interaction</t>
  </si>
  <si>
    <t>CCL3/CXCL8/TREM1/FCN1/ANPEP/CTSL/CCL4</t>
  </si>
  <si>
    <t>GO:0043032</t>
  </si>
  <si>
    <t>positive regulation of macrophage activation</t>
  </si>
  <si>
    <t>30/18903</t>
  </si>
  <si>
    <t>CCL3/THBS1/JUND</t>
  </si>
  <si>
    <t>GO:0070498</t>
  </si>
  <si>
    <t>interleukin-1-mediated signaling pathway</t>
  </si>
  <si>
    <t>IL1RN/IL1B/IL6</t>
  </si>
  <si>
    <t>GO:0019724</t>
  </si>
  <si>
    <t>B cell mediated immunity</t>
  </si>
  <si>
    <t>218/18903</t>
  </si>
  <si>
    <t>GO:0002429</t>
  </si>
  <si>
    <t>immune response-activating cell surface receptor signaling pathway</t>
  </si>
  <si>
    <t>312/18903</t>
  </si>
  <si>
    <t>GO:0002757</t>
  </si>
  <si>
    <t>immune response-activating signal transduction</t>
  </si>
  <si>
    <t>GO:0014074</t>
  </si>
  <si>
    <t>response to purine-containing compound</t>
  </si>
  <si>
    <t>142/18903</t>
  </si>
  <si>
    <t>GO:0051384</t>
  </si>
  <si>
    <t>response to glucocorticoid</t>
  </si>
  <si>
    <t>IL1RN/PTGS2/IL6/FOSB/ATP2B1</t>
  </si>
  <si>
    <t>GO:0043154</t>
  </si>
  <si>
    <t>negative regulation of cysteine-type endopeptidase activity involved in apoptotic process</t>
  </si>
  <si>
    <t>78/18903</t>
  </si>
  <si>
    <t>CD44/PTGS2/THBS1/PLAUR</t>
  </si>
  <si>
    <t>GO:0016032</t>
  </si>
  <si>
    <t>viral process</t>
  </si>
  <si>
    <t>421/18903</t>
  </si>
  <si>
    <t>CCL3/CXCL8/FCN1/APOBEC3A/ANPEP/CTSL/CCL4/TNIP1</t>
  </si>
  <si>
    <t>GO:0050921</t>
  </si>
  <si>
    <t>positive regulation of chemotaxis</t>
  </si>
  <si>
    <t>144/18903</t>
  </si>
  <si>
    <t>GO:0048147</t>
  </si>
  <si>
    <t>negative regulation of fibroblast proliferation</t>
  </si>
  <si>
    <t>33/18903</t>
  </si>
  <si>
    <t>SOD2/FTH1/NUPR1</t>
  </si>
  <si>
    <t>GO:2000191</t>
  </si>
  <si>
    <t>regulation of fatty acid transport</t>
  </si>
  <si>
    <t>IL1B/THBS1/IL1A</t>
  </si>
  <si>
    <t>GO:0072503</t>
  </si>
  <si>
    <t>cellular divalent inorganic cation homeostasis</t>
  </si>
  <si>
    <t>323/18903</t>
  </si>
  <si>
    <t>S100A8/CCL3/MT2A/S100A9/SLC11A1/ATP2B1/ATP13A3</t>
  </si>
  <si>
    <t>GO:0050920</t>
  </si>
  <si>
    <t>regulation of chemotaxis</t>
  </si>
  <si>
    <t>GO:0048708</t>
  </si>
  <si>
    <t>astrocyte differentiation</t>
  </si>
  <si>
    <t>82/18903</t>
  </si>
  <si>
    <t>GO:0009410</t>
  </si>
  <si>
    <t>response to xenobiotic stimulus</t>
  </si>
  <si>
    <t>432/18903</t>
  </si>
  <si>
    <t>SOD2/S100A12/INHBA/PTGS2/IL1B/APOBEC3A/THBS1/FOSB</t>
  </si>
  <si>
    <t>GO:0008406</t>
  </si>
  <si>
    <t>gonad development</t>
  </si>
  <si>
    <t>EREG/INHBA/TNFAIP6/NUPR1/MMP19/IL1A</t>
  </si>
  <si>
    <t>GO:0071456</t>
  </si>
  <si>
    <t>cellular response to hypoxia</t>
  </si>
  <si>
    <t>151/18903</t>
  </si>
  <si>
    <t>PTGS2/BNIP3L/MALAT1/JUND/HIF1A</t>
  </si>
  <si>
    <t>GO:0009743</t>
  </si>
  <si>
    <t>response to carbohydrate</t>
  </si>
  <si>
    <t>SOD2/PTGS2/IL1B/THBS1/IL1A/HIF1A</t>
  </si>
  <si>
    <t>GO:2000116</t>
  </si>
  <si>
    <t>regulation of cysteine-type endopeptidase activity</t>
  </si>
  <si>
    <t>235/18903</t>
  </si>
  <si>
    <t>GO:0030212</t>
  </si>
  <si>
    <t>hyaluronan metabolic process</t>
  </si>
  <si>
    <t>35/18903</t>
  </si>
  <si>
    <t>CD44/IL1B/TNFAIP6</t>
  </si>
  <si>
    <t>GO:0060249</t>
  </si>
  <si>
    <t>anatomical structure homeostasis</t>
  </si>
  <si>
    <t>333/18903</t>
  </si>
  <si>
    <t>IGKC/IGHG3/PTGS2/IL6/TNFAIP3/ATP2B1/HIF1A</t>
  </si>
  <si>
    <t>GO:0045137</t>
  </si>
  <si>
    <t>development of primary sexual characteristics</t>
  </si>
  <si>
    <t>238/18903</t>
  </si>
  <si>
    <t>GO:0033273</t>
  </si>
  <si>
    <t>response to vitamin</t>
  </si>
  <si>
    <t>86/18903</t>
  </si>
  <si>
    <t>SOD2/PTGS2/ATP2B1/IL1A</t>
  </si>
  <si>
    <t>GO:2001236</t>
  </si>
  <si>
    <t>regulation of extrinsic apoptotic signaling pathway</t>
  </si>
  <si>
    <t>INHBA/IL1B/THBS1/TNFAIP3/IL1A</t>
  </si>
  <si>
    <t>GO:0048145</t>
  </si>
  <si>
    <t>regulation of fibroblast proliferation</t>
  </si>
  <si>
    <t>87/18903</t>
  </si>
  <si>
    <t>SOD2/FTH1/EREG/NUPR1</t>
  </si>
  <si>
    <t>GO:0007292</t>
  </si>
  <si>
    <t>female gamete generation</t>
  </si>
  <si>
    <t>159/18903</t>
  </si>
  <si>
    <t>GO:0036294</t>
  </si>
  <si>
    <t>cellular response to decreased oxygen levels</t>
  </si>
  <si>
    <t>GO:0009314</t>
  </si>
  <si>
    <t>response to radiation</t>
  </si>
  <si>
    <t>452/18903</t>
  </si>
  <si>
    <t>TIMP1/SOD2/PTGS2/MMP1/SLC7A11/IL1A/JUND/HIF1A</t>
  </si>
  <si>
    <t>GO:0002369</t>
  </si>
  <si>
    <t>T cell cytokine production</t>
  </si>
  <si>
    <t>38/18903</t>
  </si>
  <si>
    <t>IL1B/IL6/TNFRSF1B</t>
  </si>
  <si>
    <t>GO:0002724</t>
  </si>
  <si>
    <t>regulation of T cell cytokine production</t>
  </si>
  <si>
    <t>GO:0033002</t>
  </si>
  <si>
    <t>muscle cell proliferation</t>
  </si>
  <si>
    <t>247/18903</t>
  </si>
  <si>
    <t>GO:2000117</t>
  </si>
  <si>
    <t>negative regulation of cysteine-type endopeptidase activity</t>
  </si>
  <si>
    <t>91/18903</t>
  </si>
  <si>
    <t>GO:0033028</t>
  </si>
  <si>
    <t>myeloid cell apoptotic process</t>
  </si>
  <si>
    <t>39/18903</t>
  </si>
  <si>
    <t>GO:0071634</t>
  </si>
  <si>
    <t>regulation of transforming growth factor beta production</t>
  </si>
  <si>
    <t>PTGS2/THBS1/HIF1A</t>
  </si>
  <si>
    <t>GO:0050851</t>
  </si>
  <si>
    <t>antigen receptor-mediated signaling pathway</t>
  </si>
  <si>
    <t>252/18903</t>
  </si>
  <si>
    <t>GO:0031960</t>
  </si>
  <si>
    <t>response to corticosteroid</t>
  </si>
  <si>
    <t>165/18903</t>
  </si>
  <si>
    <t>GO:0097305</t>
  </si>
  <si>
    <t>response to alcohol</t>
  </si>
  <si>
    <t>253/18903</t>
  </si>
  <si>
    <t>SOD2/S100A8/CCL3/INHBA/FOSB/ATP2B1</t>
  </si>
  <si>
    <t>GO:0015833</t>
  </si>
  <si>
    <t>peptide transport</t>
  </si>
  <si>
    <t>IL1RN/S100A8/IL1B/SLC7A11/IL6/HIF1A</t>
  </si>
  <si>
    <t>GO:0006882</t>
  </si>
  <si>
    <t>cellular zinc ion homeostasis</t>
  </si>
  <si>
    <t>40/18903</t>
  </si>
  <si>
    <t>S100A8/MT2A/S100A9</t>
  </si>
  <si>
    <t>GO:0043122</t>
  </si>
  <si>
    <t>regulation of I-kappaB kinase/NF-kappaB signaling</t>
  </si>
  <si>
    <t>255/18903</t>
  </si>
  <si>
    <t>S100A12/TNIP3/IL1B/TNFAIP3/IL1A/TNIP1</t>
  </si>
  <si>
    <t>GO:0072507</t>
  </si>
  <si>
    <t>divalent inorganic cation homeostasis</t>
  </si>
  <si>
    <t>356/18903</t>
  </si>
  <si>
    <t>GO:0045429</t>
  </si>
  <si>
    <t>positive regulation of nitric oxide biosynthetic process</t>
  </si>
  <si>
    <t>SOD2/PTGS2/IL1B</t>
  </si>
  <si>
    <t>GO:0050999</t>
  </si>
  <si>
    <t>regulation of nitric-oxide synthase activity</t>
  </si>
  <si>
    <t>IL1B/IL1A/HIF1A</t>
  </si>
  <si>
    <t>GO:0055069</t>
  </si>
  <si>
    <t>zinc ion homeostasis</t>
  </si>
  <si>
    <t>GO:0071604</t>
  </si>
  <si>
    <t>transforming growth factor beta production</t>
  </si>
  <si>
    <t>GO:0048661</t>
  </si>
  <si>
    <t>positive regulation of smooth muscle cell proliferation</t>
  </si>
  <si>
    <t>EREG/PTGS2/THBS1/IL6</t>
  </si>
  <si>
    <t>GO:0032602</t>
  </si>
  <si>
    <t>chemokine production</t>
  </si>
  <si>
    <t>99/18903</t>
  </si>
  <si>
    <t>TREM1/IL1B/IL6/HIF1A</t>
  </si>
  <si>
    <t>GO:0032755</t>
  </si>
  <si>
    <t>positive regulation of interleukin-6 production</t>
  </si>
  <si>
    <t>EREG/IL1B/IL6/IL1A</t>
  </si>
  <si>
    <t>GO:2001237</t>
  </si>
  <si>
    <t>negative regulation of extrinsic apoptotic signaling pathway</t>
  </si>
  <si>
    <t>IL1B/THBS1/TNFAIP3/IL1A</t>
  </si>
  <si>
    <t>GO:0071453</t>
  </si>
  <si>
    <t>cellular response to oxygen levels</t>
  </si>
  <si>
    <t>GO:0001547</t>
  </si>
  <si>
    <t>antral ovarian follicle growth</t>
  </si>
  <si>
    <t>2/76</t>
  </si>
  <si>
    <t>10/18903</t>
  </si>
  <si>
    <t>EREG/TNFAIP6</t>
  </si>
  <si>
    <t>GO:0033483</t>
  </si>
  <si>
    <t>gas homeostasis</t>
  </si>
  <si>
    <t>SOD2/HIF1A</t>
  </si>
  <si>
    <t>GO:0035747</t>
  </si>
  <si>
    <t>natural killer cell chemotaxis</t>
  </si>
  <si>
    <t>CCL3/CCL4</t>
  </si>
  <si>
    <t>GO:2000271</t>
  </si>
  <si>
    <t>positive regulation of fibroblast apoptotic process</t>
  </si>
  <si>
    <t>BTG1/NUPR1</t>
  </si>
  <si>
    <t>GO:2000659</t>
  </si>
  <si>
    <t>regulation of interleukin-1-mediated signaling pathway</t>
  </si>
  <si>
    <t>IL1RN/IL6</t>
  </si>
  <si>
    <t>GO:0001776</t>
  </si>
  <si>
    <t>leukocyte homeostasis</t>
  </si>
  <si>
    <t>100/18903</t>
  </si>
  <si>
    <t>SLC7A11/IL6/TNFAIP3/HIF1A</t>
  </si>
  <si>
    <t>GO:0032635</t>
  </si>
  <si>
    <t>interleukin-6 production</t>
  </si>
  <si>
    <t>176/18903</t>
  </si>
  <si>
    <t>EREG/IL1B/IL6/TNFAIP3/IL1A</t>
  </si>
  <si>
    <t>GO:0032675</t>
  </si>
  <si>
    <t>regulation of interleukin-6 production</t>
  </si>
  <si>
    <t>GO:0006509</t>
  </si>
  <si>
    <t>membrane protein ectodomain proteolysis</t>
  </si>
  <si>
    <t>44/18903</t>
  </si>
  <si>
    <t>GO:0045840</t>
  </si>
  <si>
    <t>positive regulation of mitotic nuclear division</t>
  </si>
  <si>
    <t>EREG/IL1B/IL1A</t>
  </si>
  <si>
    <t>GO:1904407</t>
  </si>
  <si>
    <t>positive regulation of nitric oxide metabolic process</t>
  </si>
  <si>
    <t>GO:0048771</t>
  </si>
  <si>
    <t>tissue remodeling</t>
  </si>
  <si>
    <t>TIMP1/IL6/TNFAIP3/IL1A/HIF1A</t>
  </si>
  <si>
    <t>GO:0030574</t>
  </si>
  <si>
    <t>collagen catabolic process</t>
  </si>
  <si>
    <t>45/18903</t>
  </si>
  <si>
    <t>MMP1/CTSL/MMP19</t>
  </si>
  <si>
    <t>GO:0048144</t>
  </si>
  <si>
    <t>fibroblast proliferation</t>
  </si>
  <si>
    <t>GO:0002822</t>
  </si>
  <si>
    <t>regulation of adaptive immune response based on somatic recombination of immune receptors built from immunoglobulin superfamily domains</t>
  </si>
  <si>
    <t>182/18903</t>
  </si>
  <si>
    <t>IL1B/IL6/SLC11A1/TNFAIP3/TNFRSF1B</t>
  </si>
  <si>
    <t>GO:2001239</t>
  </si>
  <si>
    <t>regulation of extrinsic apoptotic signaling pathway in absence of ligand</t>
  </si>
  <si>
    <t>46/18903</t>
  </si>
  <si>
    <t>INHBA/IL1B/IL1A</t>
  </si>
  <si>
    <t>GO:0032760</t>
  </si>
  <si>
    <t>positive regulation of tumor necrosis factor production</t>
  </si>
  <si>
    <t>CCL3/THBS1/IL6/IL1A</t>
  </si>
  <si>
    <t>GO:0002604</t>
  </si>
  <si>
    <t>regulation of dendritic cell antigen processing and presentation</t>
  </si>
  <si>
    <t>THBS1/SLC11A1</t>
  </si>
  <si>
    <t>GO:0071492</t>
  </si>
  <si>
    <t>cellular response to UV-A</t>
  </si>
  <si>
    <t>TIMP1/MMP1</t>
  </si>
  <si>
    <t>GO:0032640</t>
  </si>
  <si>
    <t>tumor necrosis factor production</t>
  </si>
  <si>
    <t>184/18903</t>
  </si>
  <si>
    <t>CCL3/THBS1/IL6/TNFAIP3/IL1A</t>
  </si>
  <si>
    <t>GO:0032680</t>
  </si>
  <si>
    <t>regulation of tumor necrosis factor production</t>
  </si>
  <si>
    <t>GO:1902622</t>
  </si>
  <si>
    <t>regulation of neutrophil migration</t>
  </si>
  <si>
    <t>CXCL8/TNFAIP6/IL1A</t>
  </si>
  <si>
    <t>GO:0002444</t>
  </si>
  <si>
    <t>myeloid leukocyte mediated immunity</t>
  </si>
  <si>
    <t>IGHG1/CCL3/TREM1/IL6</t>
  </si>
  <si>
    <t>GO:0009266</t>
  </si>
  <si>
    <t>response to temperature stimulus</t>
  </si>
  <si>
    <t>186/18903</t>
  </si>
  <si>
    <t>SOD2/PTGS2/THBS1/ATP2B1/IL1A</t>
  </si>
  <si>
    <t>GO:0002221</t>
  </si>
  <si>
    <t>pattern recognition receptor signaling pathway</t>
  </si>
  <si>
    <t>TNIP3/FCN1/CLEC4E/TNFAIP3/TNIP1</t>
  </si>
  <si>
    <t>GO:0051341</t>
  </si>
  <si>
    <t>regulation of oxidoreductase activity</t>
  </si>
  <si>
    <t>108/18903</t>
  </si>
  <si>
    <t>IL1B/IL1A/ABL2/HIF1A</t>
  </si>
  <si>
    <t>GO:0002673</t>
  </si>
  <si>
    <t>regulation of acute inflammatory response</t>
  </si>
  <si>
    <t>GO:0032309</t>
  </si>
  <si>
    <t>icosanoid secretion</t>
  </si>
  <si>
    <t>GO:1903557</t>
  </si>
  <si>
    <t>positive regulation of tumor necrosis factor superfamily cytokine production</t>
  </si>
  <si>
    <t>GO:0071706</t>
  </si>
  <si>
    <t>tumor necrosis factor superfamily cytokine production</t>
  </si>
  <si>
    <t>189/18903</t>
  </si>
  <si>
    <t>GO:1903555</t>
  </si>
  <si>
    <t>regulation of tumor necrosis factor superfamily cytokine production</t>
  </si>
  <si>
    <t>GO:1904035</t>
  </si>
  <si>
    <t>regulation of epithelial cell apoptotic process</t>
  </si>
  <si>
    <t>110/18903</t>
  </si>
  <si>
    <t>THBS1/IL6/NUPR1/TNFAIP3</t>
  </si>
  <si>
    <t>GO:0031650</t>
  </si>
  <si>
    <t>regulation of heat generation</t>
  </si>
  <si>
    <t>12/18903</t>
  </si>
  <si>
    <t>PTGS2/IL1B</t>
  </si>
  <si>
    <t>GO:0033083</t>
  </si>
  <si>
    <t>regulation of immature T cell proliferation</t>
  </si>
  <si>
    <t>IL1B/IL1A</t>
  </si>
  <si>
    <t>GO:0033084</t>
  </si>
  <si>
    <t>regulation of immature T cell proliferation in thymus</t>
  </si>
  <si>
    <t>GO:0007249</t>
  </si>
  <si>
    <t>I-kappaB kinase/NF-kappaB signaling</t>
  </si>
  <si>
    <t>288/18903</t>
  </si>
  <si>
    <t>GO:0007548</t>
  </si>
  <si>
    <t>sex differentiation</t>
  </si>
  <si>
    <t>GO:0046942</t>
  </si>
  <si>
    <t>carboxylic acid transport</t>
  </si>
  <si>
    <t>290/18903</t>
  </si>
  <si>
    <t>AQP9/PTGS2/IL1B/SLC7A11/SLC11A1/IL1A</t>
  </si>
  <si>
    <t>GO:0043124</t>
  </si>
  <si>
    <t>negative regulation of I-kappaB kinase/NF-kappaB signaling</t>
  </si>
  <si>
    <t>TNIP3/TNFAIP3/TNIP1</t>
  </si>
  <si>
    <t>GO:0002762</t>
  </si>
  <si>
    <t>negative regulation of myeloid leukocyte differentiation</t>
  </si>
  <si>
    <t>52/18903</t>
  </si>
  <si>
    <t>CCL3/INHBA/TNFAIP6</t>
  </si>
  <si>
    <t>GO:0010043</t>
  </si>
  <si>
    <t>response to zinc ion</t>
  </si>
  <si>
    <t>SOD2/S100A8/MT2A</t>
  </si>
  <si>
    <t>GO:0031392</t>
  </si>
  <si>
    <t>regulation of prostaglandin biosynthetic process</t>
  </si>
  <si>
    <t>GO:0033079</t>
  </si>
  <si>
    <t>immature T cell proliferation</t>
  </si>
  <si>
    <t>GO:0033080</t>
  </si>
  <si>
    <t>immature T cell proliferation in thymus</t>
  </si>
  <si>
    <t>GO:1903909</t>
  </si>
  <si>
    <t>regulation of receptor clustering</t>
  </si>
  <si>
    <t>TNFAIP6/SLC7A11</t>
  </si>
  <si>
    <t>GO:0002819</t>
  </si>
  <si>
    <t>regulation of adaptive immune response</t>
  </si>
  <si>
    <t>198/18903</t>
  </si>
  <si>
    <t>GO:0071622</t>
  </si>
  <si>
    <t>regulation of granulocyte chemotaxis</t>
  </si>
  <si>
    <t>53/18903</t>
  </si>
  <si>
    <t>CXCL8/TNFAIP6/THBS1</t>
  </si>
  <si>
    <t>GO:0021782</t>
  </si>
  <si>
    <t>glial cell development</t>
  </si>
  <si>
    <t>117/18903</t>
  </si>
  <si>
    <t>GO:0071887</t>
  </si>
  <si>
    <t>leukocyte apoptotic process</t>
  </si>
  <si>
    <t>SLC7A11/IL6/CTSL/HIF1A</t>
  </si>
  <si>
    <t>GO:0009615</t>
  </si>
  <si>
    <t>response to virus</t>
  </si>
  <si>
    <t>409/18903</t>
  </si>
  <si>
    <t>IL1B/APOBEC3A/BNIP3L/IL6/CCL4/TNFAIP3/HIF1A</t>
  </si>
  <si>
    <t>GO:0061900</t>
  </si>
  <si>
    <t>glial cell activation</t>
  </si>
  <si>
    <t>54/18903</t>
  </si>
  <si>
    <t>CCL3/IL1B/IL6</t>
  </si>
  <si>
    <t>GO:0015718</t>
  </si>
  <si>
    <t>monocarboxylic acid transport</t>
  </si>
  <si>
    <t>AQP9/PTGS2/IL1B/IL1A</t>
  </si>
  <si>
    <t>GO:0048511</t>
  </si>
  <si>
    <t>rhythmic process</t>
  </si>
  <si>
    <t>302/18903</t>
  </si>
  <si>
    <t>EREG/INHBA/TNFAIP6/NAMPT/MMP19/JUND</t>
  </si>
  <si>
    <t>GO:0000302</t>
  </si>
  <si>
    <t>response to reactive oxygen species</t>
  </si>
  <si>
    <t>SOD2/IL6/TNFAIP3/IL1A/HIF1A</t>
  </si>
  <si>
    <t>GO:0002367</t>
  </si>
  <si>
    <t>cytokine production involved in immune response</t>
  </si>
  <si>
    <t>120/18903</t>
  </si>
  <si>
    <t>TREM1/IL1B/IL6/TNFRSF1B</t>
  </si>
  <si>
    <t>GO:0032306</t>
  </si>
  <si>
    <t>regulation of prostaglandin secretion</t>
  </si>
  <si>
    <t>14/18903</t>
  </si>
  <si>
    <t>GO:0032308</t>
  </si>
  <si>
    <t>positive regulation of prostaglandin secretion</t>
  </si>
  <si>
    <t>GO:0043922</t>
  </si>
  <si>
    <t>negative regulation by host of viral transcription</t>
  </si>
  <si>
    <t>GO:0070141</t>
  </si>
  <si>
    <t>response to UV-A</t>
  </si>
  <si>
    <t>GO:1903202</t>
  </si>
  <si>
    <t>negative regulation of oxidative stress-induced cell death</t>
  </si>
  <si>
    <t>55/18903</t>
  </si>
  <si>
    <t>SOD2/SLC7A11/HIF1A</t>
  </si>
  <si>
    <t>GO:0048608</t>
  </si>
  <si>
    <t>reproductive structure development</t>
  </si>
  <si>
    <t>306/18903</t>
  </si>
  <si>
    <t>GO:0030098</t>
  </si>
  <si>
    <t>lymphocyte differentiation</t>
  </si>
  <si>
    <t>419/18903</t>
  </si>
  <si>
    <t>INHBA/IL1B/IL6/CTSL/CLEC4E/KLF6/IL1A</t>
  </si>
  <si>
    <t>GO:0034284</t>
  </si>
  <si>
    <t>response to monosaccharide</t>
  </si>
  <si>
    <t>207/18903</t>
  </si>
  <si>
    <t>SOD2/PTGS2/THBS1/IL1A/HIF1A</t>
  </si>
  <si>
    <t>GO:0071715</t>
  </si>
  <si>
    <t>icosanoid transport</t>
  </si>
  <si>
    <t>GO:0043434</t>
  </si>
  <si>
    <t>response to peptide hormone</t>
  </si>
  <si>
    <t>TIMP1/EREG/INHBA/PTGS2/IL1B/ATP2B1/JUND</t>
  </si>
  <si>
    <t>GO:0030282</t>
  </si>
  <si>
    <t>bone mineralization</t>
  </si>
  <si>
    <t>CCL3/PTGS2/ATP2B1/HIF1A</t>
  </si>
  <si>
    <t>GO:0042063</t>
  </si>
  <si>
    <t>gliogenesis</t>
  </si>
  <si>
    <t>310/18903</t>
  </si>
  <si>
    <t>S100A8/CCL3/S100A9/IL1B/IL6/TNFRSF1B</t>
  </si>
  <si>
    <t>GO:0061458</t>
  </si>
  <si>
    <t>reproductive system development</t>
  </si>
  <si>
    <t>GO:0032768</t>
  </si>
  <si>
    <t>regulation of monooxygenase activity</t>
  </si>
  <si>
    <t>57/18903</t>
  </si>
  <si>
    <t>GO:0009612</t>
  </si>
  <si>
    <t>response to mechanical stimulus</t>
  </si>
  <si>
    <t>211/18903</t>
  </si>
  <si>
    <t>PTGS2/IL1B/THBS1/FOSB/JUND</t>
  </si>
  <si>
    <t>GO:0002468</t>
  </si>
  <si>
    <t>dendritic cell antigen processing and presentation</t>
  </si>
  <si>
    <t>15/18903</t>
  </si>
  <si>
    <t>GO:0034116</t>
  </si>
  <si>
    <t>positive regulation of heterotypic cell-cell adhesion</t>
  </si>
  <si>
    <t>CD44/IL1B</t>
  </si>
  <si>
    <t>GO:2001279</t>
  </si>
  <si>
    <t>regulation of unsaturated fatty acid biosynthetic process</t>
  </si>
  <si>
    <t>GO:0042098</t>
  </si>
  <si>
    <t>T cell proliferation</t>
  </si>
  <si>
    <t>212/18903</t>
  </si>
  <si>
    <t>IL1B/IL6/SLC11A1/IL1A/TNFRSF1B</t>
  </si>
  <si>
    <t>GO:0006826</t>
  </si>
  <si>
    <t>iron ion transport</t>
  </si>
  <si>
    <t>FTH1/SLC25A37/SLC11A1</t>
  </si>
  <si>
    <t>GO:0033619</t>
  </si>
  <si>
    <t>membrane protein proteolysis</t>
  </si>
  <si>
    <t>GO:0052548</t>
  </si>
  <si>
    <t>regulation of endopeptidase activity</t>
  </si>
  <si>
    <t>428/18903</t>
  </si>
  <si>
    <t>TIMP1/S100A8/CD44/S100A9/PTGS2/THBS1/PLAUR</t>
  </si>
  <si>
    <t>GO:0001503</t>
  </si>
  <si>
    <t>ossification</t>
  </si>
  <si>
    <t>429/18903</t>
  </si>
  <si>
    <t>CCL3/PTGS2/TNFAIP6/IL6/ATP2B1/JUND/HIF1A</t>
  </si>
  <si>
    <t>GO:0007566</t>
  </si>
  <si>
    <t>embryo implantation</t>
  </si>
  <si>
    <t>TIMP1/PTGS2/IL1B</t>
  </si>
  <si>
    <t>GO:0051785</t>
  </si>
  <si>
    <t>positive regulation of nuclear division</t>
  </si>
  <si>
    <t>GO:0019058</t>
  </si>
  <si>
    <t>viral life cycle</t>
  </si>
  <si>
    <t>CXCL8/FCN1/APOBEC3A/ANPEP/CTSL/TNIP1</t>
  </si>
  <si>
    <t>GO:0006979</t>
  </si>
  <si>
    <t>response to oxidative stress</t>
  </si>
  <si>
    <t>434/18903</t>
  </si>
  <si>
    <t>SOD2/PTGS2/SLC7A11/IL6/TNFAIP3/IL1A/HIF1A</t>
  </si>
  <si>
    <t>GO:0051353</t>
  </si>
  <si>
    <t>positive regulation of oxidoreductase activity</t>
  </si>
  <si>
    <t>60/18903</t>
  </si>
  <si>
    <t>IL1B/ABL2/HIF1A</t>
  </si>
  <si>
    <t>GO:0034112</t>
  </si>
  <si>
    <t>positive regulation of homotypic cell-cell adhesion</t>
  </si>
  <si>
    <t>16/18903</t>
  </si>
  <si>
    <t>IL6/PLAUR</t>
  </si>
  <si>
    <t>GO:0045779</t>
  </si>
  <si>
    <t>negative regulation of bone resorption</t>
  </si>
  <si>
    <t>IL6/TNFAIP3</t>
  </si>
  <si>
    <t>GO:0051044</t>
  </si>
  <si>
    <t>positive regulation of membrane protein ectodomain proteolysis</t>
  </si>
  <si>
    <t>IL1B/TNFRSF1B</t>
  </si>
  <si>
    <t>GO:0009416</t>
  </si>
  <si>
    <t>response to light stimulus</t>
  </si>
  <si>
    <t>321/18903</t>
  </si>
  <si>
    <t>TIMP1/PTGS2/MMP1/SLC7A11/JUND/HIF1A</t>
  </si>
  <si>
    <t>GO:0022409</t>
  </si>
  <si>
    <t>positive regulation of cell-cell adhesion</t>
  </si>
  <si>
    <t>322/18903</t>
  </si>
  <si>
    <t>CD44/IL1B/IL6/IL1A/PLAUR/ABL2</t>
  </si>
  <si>
    <t>GO:0034113</t>
  </si>
  <si>
    <t>heterotypic cell-cell adhesion</t>
  </si>
  <si>
    <t>61/18903</t>
  </si>
  <si>
    <t>GO:0015849</t>
  </si>
  <si>
    <t>organic acid transport</t>
  </si>
  <si>
    <t>324/18903</t>
  </si>
  <si>
    <t>AQP9/IL1B/THBS1/SLC7A11/SLC11A1/IL1A</t>
  </si>
  <si>
    <t>GO:1901214</t>
  </si>
  <si>
    <t>regulation of neuron death</t>
  </si>
  <si>
    <t>325/18903</t>
  </si>
  <si>
    <t>SOD2/CCL3/SLC7A11/NUPR1/TNFRSF1B/HIF1A</t>
  </si>
  <si>
    <t>GO:0022617</t>
  </si>
  <si>
    <t>extracellular matrix disassembly</t>
  </si>
  <si>
    <t>MMP1/IL6/MMP19</t>
  </si>
  <si>
    <t>GO:0045428</t>
  </si>
  <si>
    <t>regulation of nitric oxide biosynthetic process</t>
  </si>
  <si>
    <t>GO:0031663</t>
  </si>
  <si>
    <t>lipopolysaccharide-mediated signaling pathway</t>
  </si>
  <si>
    <t>CCL3/IL1B/TNFAIP3</t>
  </si>
  <si>
    <t>GO:0032623</t>
  </si>
  <si>
    <t>interleukin-2 production</t>
  </si>
  <si>
    <t>IL1B/TNFAIP3/IL1A</t>
  </si>
  <si>
    <t>GO:0032663</t>
  </si>
  <si>
    <t>regulation of interleukin-2 production</t>
  </si>
  <si>
    <t>GO:0032757</t>
  </si>
  <si>
    <t>positive regulation of interleukin-8 production</t>
  </si>
  <si>
    <t>IL1B/FCN1/IL6</t>
  </si>
  <si>
    <t>GO:2001244</t>
  </si>
  <si>
    <t>positive regulation of intrinsic apoptotic signaling pathway</t>
  </si>
  <si>
    <t>S100A8/S100A9/NUPR1</t>
  </si>
  <si>
    <t>GO:0017014</t>
  </si>
  <si>
    <t>protein nitrosylation</t>
  </si>
  <si>
    <t>S100A8/S100A9</t>
  </si>
  <si>
    <t>GO:0018119</t>
  </si>
  <si>
    <t>peptidyl-cysteine S-nitrosylation</t>
  </si>
  <si>
    <t>GO:0030949</t>
  </si>
  <si>
    <t>positive regulation of vascular endothelial growth factor receptor signaling pathway</t>
  </si>
  <si>
    <t>IL1B/HIF1A</t>
  </si>
  <si>
    <t>GO:0051412</t>
  </si>
  <si>
    <t>response to corticosterone</t>
  </si>
  <si>
    <t>FOSB/ATP2B1</t>
  </si>
  <si>
    <t>GO:0010001</t>
  </si>
  <si>
    <t>glial cell differentiation</t>
  </si>
  <si>
    <t>227/18903</t>
  </si>
  <si>
    <t>S100A8/S100A9/IL1B/IL6/TNFRSF1B</t>
  </si>
  <si>
    <t>GO:1904019</t>
  </si>
  <si>
    <t>epithelial cell apoptotic process</t>
  </si>
  <si>
    <t>137/18903</t>
  </si>
  <si>
    <t>GO:0080164</t>
  </si>
  <si>
    <t>regulation of nitric oxide metabolic process</t>
  </si>
  <si>
    <t>GO:0051090</t>
  </si>
  <si>
    <t>regulation of DNA-binding transcription factor activity</t>
  </si>
  <si>
    <t>454/18903</t>
  </si>
  <si>
    <t>S100A8/S100A9/S100A12/IL1B/IL6/NUPR1/TNFAIP3</t>
  </si>
  <si>
    <t>GO:0002790</t>
  </si>
  <si>
    <t>peptide secretion</t>
  </si>
  <si>
    <t>IL1RN/S100A8/IL1B/IL6/HIF1A</t>
  </si>
  <si>
    <t>GO:0002827</t>
  </si>
  <si>
    <t>positive regulation of T-helper 1 type immune response</t>
  </si>
  <si>
    <t>IL1B/SLC11A1</t>
  </si>
  <si>
    <t>GO:0010755</t>
  </si>
  <si>
    <t>regulation of plasminogen activation</t>
  </si>
  <si>
    <t>THBS1/PLAUR</t>
  </si>
  <si>
    <t>GO:0035234</t>
  </si>
  <si>
    <t>ectopic germ cell programmed cell death</t>
  </si>
  <si>
    <t>GO:0046851</t>
  </si>
  <si>
    <t>negative regulation of bone remodeling</t>
  </si>
  <si>
    <t>GO:0051917</t>
  </si>
  <si>
    <t>regulation of fibrinolysis</t>
  </si>
  <si>
    <t>GO:0006879</t>
  </si>
  <si>
    <t>cellular iron ion homeostasis</t>
  </si>
  <si>
    <t>66/18903</t>
  </si>
  <si>
    <t>FTH1/SLC11A1/HIF1A</t>
  </si>
  <si>
    <t>GO:0034605</t>
  </si>
  <si>
    <t>cellular response to heat</t>
  </si>
  <si>
    <t>PTGS2/THBS1/IL1A</t>
  </si>
  <si>
    <t>GO:0048545</t>
  </si>
  <si>
    <t>response to steroid hormone</t>
  </si>
  <si>
    <t>IL1RN/PTGS2/THBS1/IL6/FOSB/ATP2B1</t>
  </si>
  <si>
    <t>GO:0052547</t>
  </si>
  <si>
    <t>regulation of peptidase activity</t>
  </si>
  <si>
    <t>459/18903</t>
  </si>
  <si>
    <t>GO:0031638</t>
  </si>
  <si>
    <t>zymogen activation</t>
  </si>
  <si>
    <t>THBS1/CTSL/PLAUR</t>
  </si>
  <si>
    <t>GO:0051235</t>
  </si>
  <si>
    <t>maintenance of location</t>
  </si>
  <si>
    <t>342/18903</t>
  </si>
  <si>
    <t>S100A8/FTH1/CCL3/S100A9/IL1B/IL6</t>
  </si>
  <si>
    <t>GO:1903900</t>
  </si>
  <si>
    <t>regulation of viral life cycle</t>
  </si>
  <si>
    <t>CXCL8/FCN1/APOBEC3A/TNIP1</t>
  </si>
  <si>
    <t>GO:0002523</t>
  </si>
  <si>
    <t>leukocyte migration involved in inflammatory response</t>
  </si>
  <si>
    <t>GO:0035743</t>
  </si>
  <si>
    <t>CD4-positive, alpha-beta T cell cytokine production</t>
  </si>
  <si>
    <t>IL1B/IL6</t>
  </si>
  <si>
    <t>GO:0045091</t>
  </si>
  <si>
    <t>regulation of single stranded viral RNA replication via double stranded DNA intermediate</t>
  </si>
  <si>
    <t>CXCL8/APOBEC3A</t>
  </si>
  <si>
    <t>GO:0048245</t>
  </si>
  <si>
    <t>eosinophil chemotaxis</t>
  </si>
  <si>
    <t>GO:1902176</t>
  </si>
  <si>
    <t>negative regulation of oxidative stress-induced intrinsic apoptotic signaling pathway</t>
  </si>
  <si>
    <t>GO:0062197</t>
  </si>
  <si>
    <t>cellular response to chemical stress</t>
  </si>
  <si>
    <t>345/18903</t>
  </si>
  <si>
    <t>SOD2/PTGS2/SLC7A11/IL6/TNFAIP3/HIF1A</t>
  </si>
  <si>
    <t>GO:0014015</t>
  </si>
  <si>
    <t>positive regulation of gliogenesis</t>
  </si>
  <si>
    <t>GO:0070661</t>
  </si>
  <si>
    <t>leukocyte proliferation</t>
  </si>
  <si>
    <t>348/18903</t>
  </si>
  <si>
    <t>IL1B/IL6/SLC11A1/TNFAIP3/IL1A/TNFRSF1B</t>
  </si>
  <si>
    <t>GO:0023061</t>
  </si>
  <si>
    <t>signal release</t>
  </si>
  <si>
    <t>470/18903</t>
  </si>
  <si>
    <t>IL1RN/INHBA/PTGS2/IL1B/IL6/IL1A/HIF1A</t>
  </si>
  <si>
    <t>GO:0014823</t>
  </si>
  <si>
    <t>response to activity</t>
  </si>
  <si>
    <t>70/18903</t>
  </si>
  <si>
    <t>SOD2/IL6/HIF1A</t>
  </si>
  <si>
    <t>GO:0032722</t>
  </si>
  <si>
    <t>positive regulation of chemokine production</t>
  </si>
  <si>
    <t>IL1B/IL6/HIF1A</t>
  </si>
  <si>
    <t>GO:0001780</t>
  </si>
  <si>
    <t>neutrophil homeostasis</t>
  </si>
  <si>
    <t>SLC7A11/IL6</t>
  </si>
  <si>
    <t>GO:0002577</t>
  </si>
  <si>
    <t>regulation of antigen processing and presentation</t>
  </si>
  <si>
    <t>GO:0039692</t>
  </si>
  <si>
    <t>single stranded viral RNA replication via double stranded DNA intermediate</t>
  </si>
  <si>
    <t>GO:1903978</t>
  </si>
  <si>
    <t>regulation of microglial cell activation</t>
  </si>
  <si>
    <t>CCL3/IL6</t>
  </si>
  <si>
    <t>GO:2000269</t>
  </si>
  <si>
    <t>regulation of fibroblast apoptotic process</t>
  </si>
  <si>
    <t>GO:1903131</t>
  </si>
  <si>
    <t>mononuclear cell differentiation</t>
  </si>
  <si>
    <t>473/18903</t>
  </si>
  <si>
    <t>GO:0072678</t>
  </si>
  <si>
    <t>T cell migration</t>
  </si>
  <si>
    <t>CCL20/CCL3/ABL2</t>
  </si>
  <si>
    <t>GO:0021756</t>
  </si>
  <si>
    <t>striatum development</t>
  </si>
  <si>
    <t>21/18903</t>
  </si>
  <si>
    <t>INHBA/SLC7A11</t>
  </si>
  <si>
    <t>GO:0030502</t>
  </si>
  <si>
    <t>negative regulation of bone mineralization</t>
  </si>
  <si>
    <t>CCL3/HIF1A</t>
  </si>
  <si>
    <t>GO:0032305</t>
  </si>
  <si>
    <t>positive regulation of icosanoid secretion</t>
  </si>
  <si>
    <t>GO:0034755</t>
  </si>
  <si>
    <t>iron ion transmembrane transport</t>
  </si>
  <si>
    <t>SLC25A37/SLC11A1</t>
  </si>
  <si>
    <t>GO:0043373</t>
  </si>
  <si>
    <t>CD4-positive, alpha-beta T cell lineage commitment</t>
  </si>
  <si>
    <t>IL6/CTSL</t>
  </si>
  <si>
    <t>GO:0060252</t>
  </si>
  <si>
    <t>positive regulation of glial cell proliferation</t>
  </si>
  <si>
    <t>GO:0060353</t>
  </si>
  <si>
    <t>regulation of cell adhesion molecule production</t>
  </si>
  <si>
    <t>CXCL8/IL1B</t>
  </si>
  <si>
    <t>GO:0071636</t>
  </si>
  <si>
    <t>positive regulation of transforming growth factor beta production</t>
  </si>
  <si>
    <t>PTGS2/THBS1</t>
  </si>
  <si>
    <t>GO:0140131</t>
  </si>
  <si>
    <t>positive regulation of lymphocyte chemotaxis</t>
  </si>
  <si>
    <t>GO:1903204</t>
  </si>
  <si>
    <t>negative regulation of oxidative stress-induced neuron death</t>
  </si>
  <si>
    <t>SLC7A11/HIF1A</t>
  </si>
  <si>
    <t>GO:0010876</t>
  </si>
  <si>
    <t>lipid localization</t>
  </si>
  <si>
    <t>483/18903</t>
  </si>
  <si>
    <t>INHBA/AQP9/PTGS2/IL1B/THBS1/IL6/IL1A</t>
  </si>
  <si>
    <t>GO:0050766</t>
  </si>
  <si>
    <t>positive regulation of phagocytosis</t>
  </si>
  <si>
    <t>74/18903</t>
  </si>
  <si>
    <t>IL1B/FCN1/SLC11A1</t>
  </si>
  <si>
    <t>GO:0032890</t>
  </si>
  <si>
    <t>regulation of organic acid transport</t>
  </si>
  <si>
    <t>75/18903</t>
  </si>
  <si>
    <t>GO:0043536</t>
  </si>
  <si>
    <t>positive regulation of blood vessel endothelial cell migration</t>
  </si>
  <si>
    <t>GO:0007584</t>
  </si>
  <si>
    <t>response to nutrient</t>
  </si>
  <si>
    <t>GO:0051092</t>
  </si>
  <si>
    <t>positive regulation of NF-kappaB transcription factor activity</t>
  </si>
  <si>
    <t>S100A8/S100A9/S100A12/IL1B</t>
  </si>
  <si>
    <t>GO:0098754</t>
  </si>
  <si>
    <t>detoxification</t>
  </si>
  <si>
    <t>SOD2/MT2A/S100A9/PTGS2</t>
  </si>
  <si>
    <t>GO:0010951</t>
  </si>
  <si>
    <t>negative regulation of endopeptidase activity</t>
  </si>
  <si>
    <t>TIMP1/CD44/PTGS2/THBS1/PLAUR</t>
  </si>
  <si>
    <t>GO:0010042</t>
  </si>
  <si>
    <t>response to manganese ion</t>
  </si>
  <si>
    <t>SOD2/PTGS2</t>
  </si>
  <si>
    <t>GO:0032303</t>
  </si>
  <si>
    <t>regulation of icosanoid secretion</t>
  </si>
  <si>
    <t>GO:0034104</t>
  </si>
  <si>
    <t>negative regulation of tissue remodeling</t>
  </si>
  <si>
    <t>GO:0072574</t>
  </si>
  <si>
    <t>hepatocyte proliferation</t>
  </si>
  <si>
    <t>GO:0072575</t>
  </si>
  <si>
    <t>epithelial cell proliferation involved in liver morphogenesis</t>
  </si>
  <si>
    <t>GO:0022407</t>
  </si>
  <si>
    <t>regulation of cell-cell adhesion</t>
  </si>
  <si>
    <t>490/18903</t>
  </si>
  <si>
    <t>IL1RN/CD44/IL1B/IL6/IL1A/PLAUR/ABL2</t>
  </si>
  <si>
    <t>GO:0006809</t>
  </si>
  <si>
    <t>nitric oxide biosynthetic process</t>
  </si>
  <si>
    <t>76/18903</t>
  </si>
  <si>
    <t>GO:0070997</t>
  </si>
  <si>
    <t>neuron death</t>
  </si>
  <si>
    <t>368/18903</t>
  </si>
  <si>
    <t>GO:0044409</t>
  </si>
  <si>
    <t>entry into host</t>
  </si>
  <si>
    <t>CXCL8/FCN1/ANPEP/CTSL</t>
  </si>
  <si>
    <t>GO:0001818</t>
  </si>
  <si>
    <t>negative regulation of cytokine production</t>
  </si>
  <si>
    <t>371/18903</t>
  </si>
  <si>
    <t>INHBA/THBS1/IL6/SLC11A1/TNFAIP3/ATP2B1</t>
  </si>
  <si>
    <t>GO:0002363</t>
  </si>
  <si>
    <t>alpha-beta T cell lineage commitment</t>
  </si>
  <si>
    <t>23/18903</t>
  </si>
  <si>
    <t>GO:0045723</t>
  </si>
  <si>
    <t>positive regulation of fatty acid biosynthetic process</t>
  </si>
  <si>
    <t>GO:0048143</t>
  </si>
  <si>
    <t>astrocyte activation</t>
  </si>
  <si>
    <t>GO:0072576</t>
  </si>
  <si>
    <t>liver morphogenesis</t>
  </si>
  <si>
    <t>GO:0072677</t>
  </si>
  <si>
    <t>eosinophil migration</t>
  </si>
  <si>
    <t>GO:0015711</t>
  </si>
  <si>
    <t>organic anion transport</t>
  </si>
  <si>
    <t>372/18903</t>
  </si>
  <si>
    <t>GO:0045862</t>
  </si>
  <si>
    <t>positive regulation of proteolysis</t>
  </si>
  <si>
    <t>S100A8/S100A9/IL1B/NUPR1/TNIP1/TNFRSF1B</t>
  </si>
  <si>
    <t>GO:1903201</t>
  </si>
  <si>
    <t>regulation of oxidative stress-induced cell death</t>
  </si>
  <si>
    <t>80/18903</t>
  </si>
  <si>
    <t>GO:0050792</t>
  </si>
  <si>
    <t>regulation of viral process</t>
  </si>
  <si>
    <t>162/18903</t>
  </si>
  <si>
    <t>GO:0010466</t>
  </si>
  <si>
    <t>negative regulation of peptidase activity</t>
  </si>
  <si>
    <t>263/18903</t>
  </si>
  <si>
    <t>GO:0010623</t>
  </si>
  <si>
    <t>programmed cell death involved in cell development</t>
  </si>
  <si>
    <t>GO:0043369</t>
  </si>
  <si>
    <t>CD4-positive or CD8-positive, alpha-beta T cell lineage commitment</t>
  </si>
  <si>
    <t>GO:0060352</t>
  </si>
  <si>
    <t>cell adhesion molecule production</t>
  </si>
  <si>
    <t>GO:0051091</t>
  </si>
  <si>
    <t>positive regulation of DNA-binding transcription factor activity</t>
  </si>
  <si>
    <t>266/18903</t>
  </si>
  <si>
    <t>S100A8/S100A9/S100A12/IL1B/IL6</t>
  </si>
  <si>
    <t>GO:0046209</t>
  </si>
  <si>
    <t>nitric oxide metabolic process</t>
  </si>
  <si>
    <t>GO:2000193</t>
  </si>
  <si>
    <t>positive regulation of fatty acid transport</t>
  </si>
  <si>
    <t>GO:0030500</t>
  </si>
  <si>
    <t>regulation of bone mineralization</t>
  </si>
  <si>
    <t>83/18903</t>
  </si>
  <si>
    <t>CCL3/ATP2B1/HIF1A</t>
  </si>
  <si>
    <t>GO:2001057</t>
  </si>
  <si>
    <t>reactive nitrogen species metabolic process</t>
  </si>
  <si>
    <t>GO:0070663</t>
  </si>
  <si>
    <t>regulation of leukocyte proliferation</t>
  </si>
  <si>
    <t>269/18903</t>
  </si>
  <si>
    <t>IL1B/IL6/TNFAIP3/IL1A/TNFRSF1B</t>
  </si>
  <si>
    <t>GO:0001959</t>
  </si>
  <si>
    <t>regulation of cytokine-mediated signaling pathway</t>
  </si>
  <si>
    <t>167/18903</t>
  </si>
  <si>
    <t>IL1RN/IL6/TNFAIP3/HIF1A</t>
  </si>
  <si>
    <t>GO:0002262</t>
  </si>
  <si>
    <t>myeloid cell homeostasis</t>
  </si>
  <si>
    <t>INHBA/SLC7A11/IL6/HIF1A</t>
  </si>
  <si>
    <t>GO:0002726</t>
  </si>
  <si>
    <t>positive regulation of T cell cytokine production</t>
  </si>
  <si>
    <t>GO:0044346</t>
  </si>
  <si>
    <t>fibroblast apoptotic process</t>
  </si>
  <si>
    <t>GO:1905523</t>
  </si>
  <si>
    <t>positive regulation of macrophage migration</t>
  </si>
  <si>
    <t>CCL3/THBS1</t>
  </si>
  <si>
    <t>GO:0001894</t>
  </si>
  <si>
    <t>tissue homeostasis</t>
  </si>
  <si>
    <t>275/18903</t>
  </si>
  <si>
    <t>IGKC/IGHG3/PTGS2/IL6/TNFAIP3</t>
  </si>
  <si>
    <t>GO:1903039</t>
  </si>
  <si>
    <t>positive regulation of leukocyte cell-cell adhesion</t>
  </si>
  <si>
    <t>CD44/IL1B/IL6/IL1A/ABL2</t>
  </si>
  <si>
    <t>GO:0045069</t>
  </si>
  <si>
    <t>regulation of viral genome replication</t>
  </si>
  <si>
    <t>CXCL8/APOBEC3A/TNIP1</t>
  </si>
  <si>
    <t>GO:0021544</t>
  </si>
  <si>
    <t>subpallium development</t>
  </si>
  <si>
    <t>27/18903</t>
  </si>
  <si>
    <t>GO:0031639</t>
  </si>
  <si>
    <t>plasminogen activation</t>
  </si>
  <si>
    <t>GO:0042730</t>
  </si>
  <si>
    <t>fibrinolysis</t>
  </si>
  <si>
    <t>GO:1901623</t>
  </si>
  <si>
    <t>regulation of lymphocyte chemotaxis</t>
  </si>
  <si>
    <t>GO:0031214</t>
  </si>
  <si>
    <t>biomineral tissue development</t>
  </si>
  <si>
    <t>174/18903</t>
  </si>
  <si>
    <t>GO:0046889</t>
  </si>
  <si>
    <t>positive regulation of lipid biosynthetic process</t>
  </si>
  <si>
    <t>GO:0002709</t>
  </si>
  <si>
    <t>regulation of T cell mediated immunity</t>
  </si>
  <si>
    <t>89/18903</t>
  </si>
  <si>
    <t>GO:0034644</t>
  </si>
  <si>
    <t>cellular response to UV</t>
  </si>
  <si>
    <t>TIMP1/PTGS2/MMP1</t>
  </si>
  <si>
    <t>GO:0050829</t>
  </si>
  <si>
    <t>defense response to Gram-negative bacterium</t>
  </si>
  <si>
    <t>TREM1/IL6/SLC11A1</t>
  </si>
  <si>
    <t>GO:0070723</t>
  </si>
  <si>
    <t>response to cholesterol</t>
  </si>
  <si>
    <t>CCL3/INHBA</t>
  </si>
  <si>
    <t>GO:1900017</t>
  </si>
  <si>
    <t>positive regulation of cytokine production involved in inflammatory response</t>
  </si>
  <si>
    <t>IL6/HIF1A</t>
  </si>
  <si>
    <t>GO:0043547</t>
  </si>
  <si>
    <t>positive regulation of GTPase activity</t>
  </si>
  <si>
    <t>283/18903</t>
  </si>
  <si>
    <t>GO:0051591</t>
  </si>
  <si>
    <t>response to cAMP</t>
  </si>
  <si>
    <t>AQP9/FOSB/MMP19</t>
  </si>
  <si>
    <t>GO:0060759</t>
  </si>
  <si>
    <t>regulation of response to cytokine stimulus</t>
  </si>
  <si>
    <t>GO:0048525</t>
  </si>
  <si>
    <t>negative regulation of viral process</t>
  </si>
  <si>
    <t>FCN1/APOBEC3A/TNIP1</t>
  </si>
  <si>
    <t>GO:1902175</t>
  </si>
  <si>
    <t>regulation of oxidative stress-induced intrinsic apoptotic signaling pathway</t>
  </si>
  <si>
    <t>GO:0034599</t>
  </si>
  <si>
    <t>cellular response to oxidative stress</t>
  </si>
  <si>
    <t>SOD2/SLC7A11/IL6/TNFAIP3/HIF1A</t>
  </si>
  <si>
    <t>GO:0110148</t>
  </si>
  <si>
    <t>biomineralization</t>
  </si>
  <si>
    <t>181/18903</t>
  </si>
  <si>
    <t>GO:0043270</t>
  </si>
  <si>
    <t>positive regulation of ion transport</t>
  </si>
  <si>
    <t>289/18903</t>
  </si>
  <si>
    <t>CCL3/IL1B/CCL4/ATP2B1/IL1A</t>
  </si>
  <si>
    <t>GO:0002791</t>
  </si>
  <si>
    <t>regulation of peptide secretion</t>
  </si>
  <si>
    <t>S100A8/IL1B/IL6/HIF1A</t>
  </si>
  <si>
    <t>GO:0042129</t>
  </si>
  <si>
    <t>regulation of T cell proliferation</t>
  </si>
  <si>
    <t>IL1B/IL6/IL1A/TNFRSF1B</t>
  </si>
  <si>
    <t>GO:0051781</t>
  </si>
  <si>
    <t>positive regulation of cell division</t>
  </si>
  <si>
    <t>93/18903</t>
  </si>
  <si>
    <t>GO:0046879</t>
  </si>
  <si>
    <t>hormone secretion</t>
  </si>
  <si>
    <t>291/18903</t>
  </si>
  <si>
    <t>IL1RN/INHBA/IL1B/IL6/HIF1A</t>
  </si>
  <si>
    <t>GO:0030073</t>
  </si>
  <si>
    <t>insulin secretion</t>
  </si>
  <si>
    <t>183/18903</t>
  </si>
  <si>
    <t>IL1RN/IL1B/IL6/HIF1A</t>
  </si>
  <si>
    <t>GO:0044000</t>
  </si>
  <si>
    <t>movement in host</t>
  </si>
  <si>
    <t>GO:0002360</t>
  </si>
  <si>
    <t>T cell lineage commitment</t>
  </si>
  <si>
    <t>GO:0002825</t>
  </si>
  <si>
    <t>regulation of T-helper 1 type immune response</t>
  </si>
  <si>
    <t>GO:0039694</t>
  </si>
  <si>
    <t>viral RNA genome replication</t>
  </si>
  <si>
    <t>GO:0070168</t>
  </si>
  <si>
    <t>negative regulation of biomineral tissue development</t>
  </si>
  <si>
    <t>GO:1903203</t>
  </si>
  <si>
    <t>regulation of oxidative stress-induced neuron death</t>
  </si>
  <si>
    <t>GO:0090087</t>
  </si>
  <si>
    <t>regulation of peptide transport</t>
  </si>
  <si>
    <t>GO:1905952</t>
  </si>
  <si>
    <t>regulation of lipid localization</t>
  </si>
  <si>
    <t>185/18903</t>
  </si>
  <si>
    <t>IL1B/THBS1/IL6/IL1A</t>
  </si>
  <si>
    <t>GO:0034109</t>
  </si>
  <si>
    <t>homotypic cell-cell adhesion</t>
  </si>
  <si>
    <t>95/18903</t>
  </si>
  <si>
    <t>SLC7A11/IL6/PLAUR</t>
  </si>
  <si>
    <t>GO:0045638</t>
  </si>
  <si>
    <t>negative regulation of myeloid cell differentiation</t>
  </si>
  <si>
    <t>GO:1900407</t>
  </si>
  <si>
    <t>regulation of cellular response to oxidative stress</t>
  </si>
  <si>
    <t>GO:1903510</t>
  </si>
  <si>
    <t>mucopolysaccharide metabolic process</t>
  </si>
  <si>
    <t>GO:0030217</t>
  </si>
  <si>
    <t>T cell differentiation</t>
  </si>
  <si>
    <t>IL1B/IL6/CTSL/CLEC4E/IL1A</t>
  </si>
  <si>
    <t>GO:0048872</t>
  </si>
  <si>
    <t>homeostasis of number of cells</t>
  </si>
  <si>
    <t>INHBA/SLC7A11/IL6/TNFAIP3/HIF1A</t>
  </si>
  <si>
    <t>GO:0110150</t>
  </si>
  <si>
    <t>negative regulation of biomineralization</t>
  </si>
  <si>
    <t>31/18903</t>
  </si>
  <si>
    <t>GO:0007565</t>
  </si>
  <si>
    <t>female pregnancy</t>
  </si>
  <si>
    <t>TIMP1/PTGS2/IL1B/FOSB</t>
  </si>
  <si>
    <t>GO:0009914</t>
  </si>
  <si>
    <t>hormone transport</t>
  </si>
  <si>
    <t>300/18903</t>
  </si>
  <si>
    <t>GO:0032642</t>
  </si>
  <si>
    <t>regulation of chemokine production</t>
  </si>
  <si>
    <t>GO:0001516</t>
  </si>
  <si>
    <t>prostaglandin biosynthetic process</t>
  </si>
  <si>
    <t>32/18903</t>
  </si>
  <si>
    <t>GO:0032770</t>
  </si>
  <si>
    <t>positive regulation of monooxygenase activity</t>
  </si>
  <si>
    <t>GO:0033198</t>
  </si>
  <si>
    <t>response to ATP</t>
  </si>
  <si>
    <t>GO:0045671</t>
  </si>
  <si>
    <t>negative regulation of osteoclast differentiation</t>
  </si>
  <si>
    <t>CCL3/TNFAIP6</t>
  </si>
  <si>
    <t>GO:0046457</t>
  </si>
  <si>
    <t>prostanoid biosynthetic process</t>
  </si>
  <si>
    <t>GO:1901889</t>
  </si>
  <si>
    <t>negative regulation of cell junction assembly</t>
  </si>
  <si>
    <t>IL1B/THBS1</t>
  </si>
  <si>
    <t>GO:1903715</t>
  </si>
  <si>
    <t>regulation of aerobic respiration</t>
  </si>
  <si>
    <t>NUPR1/HIF1A</t>
  </si>
  <si>
    <t>GO:1990776</t>
  </si>
  <si>
    <t>response to angiotensin</t>
  </si>
  <si>
    <t>INHBA/PTGS2</t>
  </si>
  <si>
    <t>GO:0008217</t>
  </si>
  <si>
    <t>regulation of blood pressure</t>
  </si>
  <si>
    <t>191/18903</t>
  </si>
  <si>
    <t>SOD2/PTGS2/ANPEP/ATP2B1</t>
  </si>
  <si>
    <t>GO:0051047</t>
  </si>
  <si>
    <t>positive regulation of secretion</t>
  </si>
  <si>
    <t>304/18903</t>
  </si>
  <si>
    <t>S100A8/INHBA/IL1B/IL1A/HIF1A</t>
  </si>
  <si>
    <t>GO:0051607</t>
  </si>
  <si>
    <t>defense response to virus</t>
  </si>
  <si>
    <t>IL1B/APOBEC3A/BNIP3L/IL6/TNFAIP3</t>
  </si>
  <si>
    <t>GO:0036473</t>
  </si>
  <si>
    <t>cell death in response to oxidative stress</t>
  </si>
  <si>
    <t>GO:0097306</t>
  </si>
  <si>
    <t>cellular response to alcohol</t>
  </si>
  <si>
    <t>SOD2/INHBA/ATP2B1</t>
  </si>
  <si>
    <t>GO:0098869</t>
  </si>
  <si>
    <t>cellular oxidant detoxification</t>
  </si>
  <si>
    <t>SOD2/S100A9/PTGS2</t>
  </si>
  <si>
    <t>GO:0046651</t>
  </si>
  <si>
    <t>lymphocyte proliferation</t>
  </si>
  <si>
    <t>305/18903</t>
  </si>
  <si>
    <t>GO:0140546</t>
  </si>
  <si>
    <t>defense response to symbiont</t>
  </si>
  <si>
    <t>GO:0001782</t>
  </si>
  <si>
    <t>B cell homeostasis</t>
  </si>
  <si>
    <t>TNFAIP3/HIF1A</t>
  </si>
  <si>
    <t>GO:0030947</t>
  </si>
  <si>
    <t>regulation of vascular endothelial growth factor receptor signaling pathway</t>
  </si>
  <si>
    <t>GO:0036314</t>
  </si>
  <si>
    <t>response to sterol</t>
  </si>
  <si>
    <t>GO:0036475</t>
  </si>
  <si>
    <t>neuron death in response to oxidative stress</t>
  </si>
  <si>
    <t>GO:0015908</t>
  </si>
  <si>
    <t>fatty acid transport</t>
  </si>
  <si>
    <t>GO:0006869</t>
  </si>
  <si>
    <t>lipid transport</t>
  </si>
  <si>
    <t>433/18903</t>
  </si>
  <si>
    <t>INHBA/AQP9/PTGS2/IL1B/THBS1/IL1A</t>
  </si>
  <si>
    <t>GO:0032743</t>
  </si>
  <si>
    <t>positive regulation of interleukin-2 production</t>
  </si>
  <si>
    <t>34/18903</t>
  </si>
  <si>
    <t>GO:0045648</t>
  </si>
  <si>
    <t>positive regulation of erythrocyte differentiation</t>
  </si>
  <si>
    <t>INHBA/HIF1A</t>
  </si>
  <si>
    <t>GO:0090022</t>
  </si>
  <si>
    <t>regulation of neutrophil chemotaxis</t>
  </si>
  <si>
    <t>CXCL8/TNFAIP6</t>
  </si>
  <si>
    <t>GO:1902624</t>
  </si>
  <si>
    <t>positive regulation of neutrophil migration</t>
  </si>
  <si>
    <t>CXCL8/IL1A</t>
  </si>
  <si>
    <t>GO:0019233</t>
  </si>
  <si>
    <t>sensory perception of pain</t>
  </si>
  <si>
    <t>CCL3/PTGS2/IL1A</t>
  </si>
  <si>
    <t>GO:0032677</t>
  </si>
  <si>
    <t>regulation of interleukin-8 production</t>
  </si>
  <si>
    <t>GO:0050764</t>
  </si>
  <si>
    <t>regulation of phagocytosis</t>
  </si>
  <si>
    <t>GO:0070167</t>
  </si>
  <si>
    <t>regulation of biomineral tissue development</t>
  </si>
  <si>
    <t>GO:0071248</t>
  </si>
  <si>
    <t>cellular response to metal ion</t>
  </si>
  <si>
    <t>MT2A/PTGS2/FOSB/JUND</t>
  </si>
  <si>
    <t>GO:0032943</t>
  </si>
  <si>
    <t>mononuclear cell proliferation</t>
  </si>
  <si>
    <t>GO:0000041</t>
  </si>
  <si>
    <t>transition metal ion transport</t>
  </si>
  <si>
    <t>104/18903</t>
  </si>
  <si>
    <t>GO:0032637</t>
  </si>
  <si>
    <t>interleukin-8 production</t>
  </si>
  <si>
    <t>GO:1902882</t>
  </si>
  <si>
    <t>regulation of response to oxidative stress</t>
  </si>
  <si>
    <t>GO:0019932</t>
  </si>
  <si>
    <t>second-messenger-mediated signaling</t>
  </si>
  <si>
    <t>CCL20/CCL3/CXCL8/THBS1/CCL4</t>
  </si>
  <si>
    <t>GO:0002446</t>
  </si>
  <si>
    <t>neutrophil mediated immunity</t>
  </si>
  <si>
    <t>TREM1/IL6</t>
  </si>
  <si>
    <t>GO:0035633</t>
  </si>
  <si>
    <t>maintenance of blood-brain barrier</t>
  </si>
  <si>
    <t>PTGS2/IL6</t>
  </si>
  <si>
    <t>GO:1901099</t>
  </si>
  <si>
    <t>negative regulation of signal transduction in absence of ligand</t>
  </si>
  <si>
    <t>GO:2000406</t>
  </si>
  <si>
    <t>positive regulation of T cell migration</t>
  </si>
  <si>
    <t>CCL20/ABL2</t>
  </si>
  <si>
    <t>GO:2001240</t>
  </si>
  <si>
    <t>negative regulation of extrinsic apoptotic signaling pathway in absence of ligand</t>
  </si>
  <si>
    <t>GO:0110149</t>
  </si>
  <si>
    <t>regulation of biomineralization</t>
  </si>
  <si>
    <t>GO:0042102</t>
  </si>
  <si>
    <t>positive regulation of T cell proliferation</t>
  </si>
  <si>
    <t>IL1B/IL6/IL1A</t>
  </si>
  <si>
    <t>GO:0051701</t>
  </si>
  <si>
    <t>biological process involved in interaction with host</t>
  </si>
  <si>
    <t>203/18903</t>
  </si>
  <si>
    <t>GO:0014013</t>
  </si>
  <si>
    <t>regulation of gliogenesis</t>
  </si>
  <si>
    <t>GO:0002504</t>
  </si>
  <si>
    <t>antigen processing and presentation of peptide or polysaccharide antigen via MHC class II</t>
  </si>
  <si>
    <t>36/18903</t>
  </si>
  <si>
    <t>THBS1/CTSL</t>
  </si>
  <si>
    <t>GO:0033280</t>
  </si>
  <si>
    <t>response to vitamin D</t>
  </si>
  <si>
    <t>PTGS2/ATP2B1</t>
  </si>
  <si>
    <t>GO:0050869</t>
  </si>
  <si>
    <t>negative regulation of B cell activation</t>
  </si>
  <si>
    <t>INHBA/TNFAIP3</t>
  </si>
  <si>
    <t>GO:0051930</t>
  </si>
  <si>
    <t>regulation of sensory perception of pain</t>
  </si>
  <si>
    <t>CCL3/IL1A</t>
  </si>
  <si>
    <t>GO:0051931</t>
  </si>
  <si>
    <t>regulation of sensory perception</t>
  </si>
  <si>
    <t>GO:1903146</t>
  </si>
  <si>
    <t>regulation of autophagy of mitochondrion</t>
  </si>
  <si>
    <t>BNIP3L/HIF1A</t>
  </si>
  <si>
    <t>GO:0008637</t>
  </si>
  <si>
    <t>apoptotic mitochondrial changes</t>
  </si>
  <si>
    <t>SOD2/BNIP3L/PLAUR</t>
  </si>
  <si>
    <t>GO:0019882</t>
  </si>
  <si>
    <t>antigen processing and presentation</t>
  </si>
  <si>
    <t>THBS1/CTSL/SLC11A1</t>
  </si>
  <si>
    <t>GO:0033138</t>
  </si>
  <si>
    <t>positive regulation of peptidyl-serine phosphorylation</t>
  </si>
  <si>
    <t>CD44/PTGS2/IL6</t>
  </si>
  <si>
    <t>GO:1902106</t>
  </si>
  <si>
    <t>negative regulation of leukocyte differentiation</t>
  </si>
  <si>
    <t>GO:2000241</t>
  </si>
  <si>
    <t>regulation of reproductive process</t>
  </si>
  <si>
    <t>TIMP1/INHBA/NUPR1/IL1A</t>
  </si>
  <si>
    <t>GO:0034110</t>
  </si>
  <si>
    <t>regulation of homotypic cell-cell adhesion</t>
  </si>
  <si>
    <t>37/18903</t>
  </si>
  <si>
    <t>GO:0051385</t>
  </si>
  <si>
    <t>response to mineralocorticoid</t>
  </si>
  <si>
    <t>GO:0019722</t>
  </si>
  <si>
    <t>calcium-mediated signaling</t>
  </si>
  <si>
    <t>208/18903</t>
  </si>
  <si>
    <t>CCL20/CCL3/CXCL8/CCL4</t>
  </si>
  <si>
    <t>GO:0044703</t>
  </si>
  <si>
    <t>multi-organism reproductive process</t>
  </si>
  <si>
    <t>209/18903</t>
  </si>
  <si>
    <t>GO:0045732</t>
  </si>
  <si>
    <t>positive regulation of protein catabolic process</t>
  </si>
  <si>
    <t>IL1B/NUPR1/TNFAIP3/TNFRSF1B</t>
  </si>
  <si>
    <t>GO:0032611</t>
  </si>
  <si>
    <t>interleukin-1 beta production</t>
  </si>
  <si>
    <t>CCL3/IL6/TNFAIP3</t>
  </si>
  <si>
    <t>GO:0032651</t>
  </si>
  <si>
    <t>regulation of interleukin-1 beta production</t>
  </si>
  <si>
    <t>GO:0043368</t>
  </si>
  <si>
    <t>positive T cell selection</t>
  </si>
  <si>
    <t>GO:0045742</t>
  </si>
  <si>
    <t>positive regulation of epidermal growth factor receptor signaling pathway</t>
  </si>
  <si>
    <t>EREG/PLAUR</t>
  </si>
  <si>
    <t>GO:0002456</t>
  </si>
  <si>
    <t>T cell mediated immunity</t>
  </si>
  <si>
    <t>113/18903</t>
  </si>
  <si>
    <t>GO:0002064</t>
  </si>
  <si>
    <t>epithelial cell development</t>
  </si>
  <si>
    <t>213/18903</t>
  </si>
  <si>
    <t>IL1B/IL1A/RILPL2/HIF1A</t>
  </si>
  <si>
    <t>GO:0030279</t>
  </si>
  <si>
    <t>negative regulation of ossification</t>
  </si>
  <si>
    <t>GO:0032570</t>
  </si>
  <si>
    <t>response to progesterone</t>
  </si>
  <si>
    <t>THBS1/FOSB</t>
  </si>
  <si>
    <t>GO:0060251</t>
  </si>
  <si>
    <t>regulation of glial cell proliferation</t>
  </si>
  <si>
    <t>GO:0045637</t>
  </si>
  <si>
    <t>regulation of myeloid cell differentiation</t>
  </si>
  <si>
    <t>214/18903</t>
  </si>
  <si>
    <t>CCL3/INHBA/TNFAIP6/HIF1A</t>
  </si>
  <si>
    <t>GO:0002824</t>
  </si>
  <si>
    <t>positive regulation of adaptive immune response based on somatic recombination of immune receptors built from immunoglobulin superfamily domains</t>
  </si>
  <si>
    <t>IL1B/IL6/SLC11A1</t>
  </si>
  <si>
    <t>GO:0009408</t>
  </si>
  <si>
    <t>response to heat</t>
  </si>
  <si>
    <t>GO:0044344</t>
  </si>
  <si>
    <t>cellular response to fibroblast growth factor stimulus</t>
  </si>
  <si>
    <t>CXCL8/CD44/THBS1</t>
  </si>
  <si>
    <t>GO:1903707</t>
  </si>
  <si>
    <t>negative regulation of hemopoiesis</t>
  </si>
  <si>
    <t>GO:1990748</t>
  </si>
  <si>
    <t>cellular detoxification</t>
  </si>
  <si>
    <t>115/18903</t>
  </si>
  <si>
    <t>GO:0032965</t>
  </si>
  <si>
    <t>regulation of collagen biosynthetic process</t>
  </si>
  <si>
    <t>INHBA/IL6</t>
  </si>
  <si>
    <t>GO:0045923</t>
  </si>
  <si>
    <t>positive regulation of fatty acid metabolic process</t>
  </si>
  <si>
    <t>GO:0048246</t>
  </si>
  <si>
    <t>macrophage chemotaxis</t>
  </si>
  <si>
    <t>GO:1901186</t>
  </si>
  <si>
    <t>positive regulation of ERBB signaling pathway</t>
  </si>
  <si>
    <t>GO:0051702</t>
  </si>
  <si>
    <t>biological process involved in interaction with symbiont</t>
  </si>
  <si>
    <t>CCL3/TREM1/CCL4</t>
  </si>
  <si>
    <t>GO:0043523</t>
  </si>
  <si>
    <t>regulation of neuron apoptotic process</t>
  </si>
  <si>
    <t>SOD2/CCL3/NUPR1/HIF1A</t>
  </si>
  <si>
    <t>GO:0044706</t>
  </si>
  <si>
    <t>multi-multicellular organism process</t>
  </si>
  <si>
    <t>GO:1901215</t>
  </si>
  <si>
    <t>negative regulation of neuron death</t>
  </si>
  <si>
    <t>SOD2/SLC7A11/TNFRSF1B/HIF1A</t>
  </si>
  <si>
    <t>GO:0071735</t>
  </si>
  <si>
    <t>CC</t>
  </si>
  <si>
    <t>IgG immunoglobulin complex</t>
  </si>
  <si>
    <t>5/79</t>
  </si>
  <si>
    <t>10/19869</t>
  </si>
  <si>
    <t>IGLC3/IGHG4/IGKC/IGHG1/IGHG3</t>
  </si>
  <si>
    <t>GO:0042571</t>
  </si>
  <si>
    <t>immunoglobulin complex, circulating</t>
  </si>
  <si>
    <t>6/79</t>
  </si>
  <si>
    <t>76/19869</t>
  </si>
  <si>
    <t>GO:0009897</t>
  </si>
  <si>
    <t>external side of plasma membrane</t>
  </si>
  <si>
    <t>10/79</t>
  </si>
  <si>
    <t>462/19869</t>
  </si>
  <si>
    <t>IGLC3/IGLC2/IGHG4/IGKC/IGHG1/IGHG3/FCN1/THBS1/ANPEP/CLEC4E</t>
  </si>
  <si>
    <t>GO:0072562</t>
  </si>
  <si>
    <t>blood microparticle</t>
  </si>
  <si>
    <t>145/19869</t>
  </si>
  <si>
    <t>GO:0030667</t>
  </si>
  <si>
    <t>secretory granule membrane</t>
  </si>
  <si>
    <t>8/79</t>
  </si>
  <si>
    <t>313/19869</t>
  </si>
  <si>
    <t>CD44/MCEMP1/ANPEP/SLC11A1/OLR1/FCGR2A/TNFRSF1B/PLAUR</t>
  </si>
  <si>
    <t>GO:0034774</t>
  </si>
  <si>
    <t>secretory granule lumen</t>
  </si>
  <si>
    <t>322/19869</t>
  </si>
  <si>
    <t>TIMP1/S100A8/S100A9/S100A12/FCN1/THBS1/CXCL1/CFD</t>
  </si>
  <si>
    <t>GO:0060205</t>
  </si>
  <si>
    <t>cytoplasmic vesicle lumen</t>
  </si>
  <si>
    <t>325/19869</t>
  </si>
  <si>
    <t>GO:0031983</t>
  </si>
  <si>
    <t>vesicle lumen</t>
  </si>
  <si>
    <t>327/19869</t>
  </si>
  <si>
    <t>GO:0070820</t>
  </si>
  <si>
    <t>tertiary granule</t>
  </si>
  <si>
    <t>164/19869</t>
  </si>
  <si>
    <t>FTH1/TNFAIP6/MCEMP1/CXCL1/SLC11A1/OLR1</t>
  </si>
  <si>
    <t>GO:0019814</t>
  </si>
  <si>
    <t>immunoglobulin complex</t>
  </si>
  <si>
    <t>166/19869</t>
  </si>
  <si>
    <t>GO:0042581</t>
  </si>
  <si>
    <t>specific granule</t>
  </si>
  <si>
    <t>160/19869</t>
  </si>
  <si>
    <t>MCEMP1/CXCL1/OLR1/TNFRSF1B/PLAUR</t>
  </si>
  <si>
    <t>GO:0035579</t>
  </si>
  <si>
    <t>specific granule membrane</t>
  </si>
  <si>
    <t>4/79</t>
  </si>
  <si>
    <t>91/19869</t>
  </si>
  <si>
    <t>MCEMP1/OLR1/TNFRSF1B/PLAUR</t>
  </si>
  <si>
    <t>GO:0071745</t>
  </si>
  <si>
    <t>IgA immunoglobulin complex</t>
  </si>
  <si>
    <t>2/79</t>
  </si>
  <si>
    <t>IGLC3/IGKC</t>
  </si>
  <si>
    <t>GO:1905370</t>
  </si>
  <si>
    <t>serine-type endopeptidase complex</t>
  </si>
  <si>
    <t>11/19869</t>
  </si>
  <si>
    <t>FCN1/PLAUR</t>
  </si>
  <si>
    <t>GO:0101002</t>
  </si>
  <si>
    <t>ficolin-1-rich granule</t>
  </si>
  <si>
    <t>185/19869</t>
  </si>
  <si>
    <t>FTH1/TNFAIP6/FCN1/CFD/SLC11A1</t>
  </si>
  <si>
    <t>GO:1905286</t>
  </si>
  <si>
    <t>serine-type peptidase complex</t>
  </si>
  <si>
    <t>13/19869</t>
  </si>
  <si>
    <t>GO:1904724</t>
  </si>
  <si>
    <t>tertiary granule lumen</t>
  </si>
  <si>
    <t>3/79</t>
  </si>
  <si>
    <t>55/19869</t>
  </si>
  <si>
    <t>FTH1/TNFAIP6/CXCL1</t>
  </si>
  <si>
    <t>GO:1904813</t>
  </si>
  <si>
    <t>ficolin-1-rich granule lumen</t>
  </si>
  <si>
    <t>124/19869</t>
  </si>
  <si>
    <t>FTH1/TNFAIP6/FCN1/CFD</t>
  </si>
  <si>
    <t>GO:0031093</t>
  </si>
  <si>
    <t>platelet alpha granule lumen</t>
  </si>
  <si>
    <t>67/19869</t>
  </si>
  <si>
    <t>TIMP1/THBS1/CFD</t>
  </si>
  <si>
    <t>GO:0070821</t>
  </si>
  <si>
    <t>tertiary granule membrane</t>
  </si>
  <si>
    <t>73/19869</t>
  </si>
  <si>
    <t>MCEMP1/SLC11A1/OLR1</t>
  </si>
  <si>
    <t>GO:0031091</t>
  </si>
  <si>
    <t>platelet alpha granule</t>
  </si>
  <si>
    <t>GO:0005125</t>
  </si>
  <si>
    <t>MF</t>
  </si>
  <si>
    <t>cytokine activity</t>
  </si>
  <si>
    <t>17/78</t>
  </si>
  <si>
    <t>237/18432</t>
  </si>
  <si>
    <t>TIMP1/CCL18/CXCL5/CCL3L3/CCL20/IL1RN/CCL3/CXCL8/INHBA/CXCL2/CXCL3/IL1B/NAMPT/CXCL1/IL6/CCL4/IL1A</t>
  </si>
  <si>
    <t>GO:0008009</t>
  </si>
  <si>
    <t>chemokine activity</t>
  </si>
  <si>
    <t>10/78</t>
  </si>
  <si>
    <t>49/18432</t>
  </si>
  <si>
    <t>CCL18/CXCL5/CCL3L3/CCL20/CCL3/CXCL8/CXCL2/CXCL3/CXCL1/CCL4</t>
  </si>
  <si>
    <t>GO:0042379</t>
  </si>
  <si>
    <t>chemokine receptor binding</t>
  </si>
  <si>
    <t>71/18432</t>
  </si>
  <si>
    <t>GO:0048018</t>
  </si>
  <si>
    <t>receptor ligand activity</t>
  </si>
  <si>
    <t>18/78</t>
  </si>
  <si>
    <t>491/18432</t>
  </si>
  <si>
    <t>TIMP1/CCL18/CXCL5/CCL3L3/CCL20/IL1RN/CCL3/CXCL8/EREG/INHBA/CXCL2/CXCL3/IL1B/NAMPT/CXCL1/IL6/CCL4/IL1A</t>
  </si>
  <si>
    <t>GO:0030546</t>
  </si>
  <si>
    <t>signaling receptor activator activity</t>
  </si>
  <si>
    <t>498/18432</t>
  </si>
  <si>
    <t>GO:0005126</t>
  </si>
  <si>
    <t>cytokine receptor binding</t>
  </si>
  <si>
    <t>14/78</t>
  </si>
  <si>
    <t>273/18432</t>
  </si>
  <si>
    <t>CCL18/CXCL5/CCL3L3/CCL20/IL1RN/CCL3/CXCL8/CXCL2/CXCL3/IL1B/CXCL1/IL6/CCL4/IL1A</t>
  </si>
  <si>
    <t>GO:0045236</t>
  </si>
  <si>
    <t>CXCR chemokine receptor binding</t>
  </si>
  <si>
    <t>5/78</t>
  </si>
  <si>
    <t>18/18432</t>
  </si>
  <si>
    <t>CXCL5/CXCL8/CXCL2/CXCL3/CXCL1</t>
  </si>
  <si>
    <t>GO:0001664</t>
  </si>
  <si>
    <t>G protein-coupled receptor binding</t>
  </si>
  <si>
    <t>11/78</t>
  </si>
  <si>
    <t>289/18432</t>
  </si>
  <si>
    <t>CCL18/CXCL5/CCL3L3/CCL20/CCL3/CXCL8/CXCL2/CXCL3/FCN1/CXCL1/CCL4</t>
  </si>
  <si>
    <t>GO:0034987</t>
  </si>
  <si>
    <t>immunoglobulin receptor binding</t>
  </si>
  <si>
    <t>6/78</t>
  </si>
  <si>
    <t>79/18432</t>
  </si>
  <si>
    <t>GO:0048020</t>
  </si>
  <si>
    <t>CCR chemokine receptor binding</t>
  </si>
  <si>
    <t>47/18432</t>
  </si>
  <si>
    <t>GO:0003823</t>
  </si>
  <si>
    <t>antigen binding</t>
  </si>
  <si>
    <t>7/78</t>
  </si>
  <si>
    <t>171/18432</t>
  </si>
  <si>
    <t>GO:0050786</t>
  </si>
  <si>
    <t>RAGE receptor binding</t>
  </si>
  <si>
    <t>3/78</t>
  </si>
  <si>
    <t>10/18432</t>
  </si>
  <si>
    <t>S100A8/S100A9/S100A12</t>
  </si>
  <si>
    <t>GO:0005149</t>
  </si>
  <si>
    <t>interleukin-1 receptor binding</t>
  </si>
  <si>
    <t>17/18432</t>
  </si>
  <si>
    <t>IL1RN/IL1B/IL1A</t>
  </si>
  <si>
    <t>GO:0001968</t>
  </si>
  <si>
    <t>fibronectin binding</t>
  </si>
  <si>
    <t>31/18432</t>
  </si>
  <si>
    <t>TNFAIP6/THBS1/CTSL</t>
  </si>
  <si>
    <t>GO:0070851</t>
  </si>
  <si>
    <t>growth factor receptor binding</t>
  </si>
  <si>
    <t>140/18432</t>
  </si>
  <si>
    <t>IL1RN/EREG/IL1B/IL6/IL1A</t>
  </si>
  <si>
    <t>GO:0008083</t>
  </si>
  <si>
    <t>growth factor activity</t>
  </si>
  <si>
    <t>162/18432</t>
  </si>
  <si>
    <t>TIMP1/EREG/INHBA/CXCL1/IL6</t>
  </si>
  <si>
    <t>GO:0005381</t>
  </si>
  <si>
    <t>iron ion transmembrane transporter activity</t>
  </si>
  <si>
    <t>2/78</t>
  </si>
  <si>
    <t>GO:0035325</t>
  </si>
  <si>
    <t>Toll-like receptor binding</t>
  </si>
  <si>
    <t>12/18432</t>
  </si>
  <si>
    <t>GO:0036041</t>
  </si>
  <si>
    <t>long-chain fatty acid binding</t>
  </si>
  <si>
    <t>15/18432</t>
  </si>
  <si>
    <t>GO:0005518</t>
  </si>
  <si>
    <t>collagen binding</t>
  </si>
  <si>
    <t>69/18432</t>
  </si>
  <si>
    <t>CD44/THBS1/CTSL</t>
  </si>
  <si>
    <t>GO:0005540</t>
  </si>
  <si>
    <t>hyaluronic acid binding</t>
  </si>
  <si>
    <t>24/18432</t>
  </si>
  <si>
    <t>CD44/TNFAIP6</t>
  </si>
  <si>
    <t>GO:0140358</t>
  </si>
  <si>
    <t>P-type transmembrane transporter activity</t>
  </si>
  <si>
    <t>ATP2B1/ATP13A3</t>
  </si>
  <si>
    <t>GO:0048306</t>
  </si>
  <si>
    <t>calcium-dependent protein binding</t>
  </si>
  <si>
    <t>81/18432</t>
  </si>
  <si>
    <t>描述</t>
  </si>
  <si>
    <t>粒细胞趋化作用</t>
  </si>
  <si>
    <t>中性粒细胞趋化作用</t>
  </si>
  <si>
    <t>白细胞趋化作用</t>
  </si>
  <si>
    <t>体液免疫反应</t>
  </si>
  <si>
    <t>白细胞迁移</t>
  </si>
  <si>
    <t>细胞因子介导的信号通路</t>
  </si>
  <si>
    <t>趋化因子介导的信号通路</t>
  </si>
  <si>
    <t>细胞对白细胞介素 - 1 的反应</t>
  </si>
  <si>
    <t>单核细胞趋化作用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</si>
</sst>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DengXian"/>
      <family val="4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5"/>
  <sheetViews>
    <sheetView topLeftCell="A53" workbookViewId="0">
      <selection activeCell="A69" sqref="A69:XFD69"/>
    </sheetView>
  </sheetViews>
  <sheetFormatPr baseColWidth="10" defaultRowHeight="16"/>
  <cols>
    <col min="4" max="4" width="64.5" customWidth="1"/>
  </cols>
  <sheetData>
    <row r="1" spans="1:12">
      <c r="B1" t="s">
        <v>0</v>
      </c>
      <c r="C1" t="s">
        <v>1</v>
      </c>
      <c r="D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>
      <c r="A2" t="s">
        <v>10</v>
      </c>
      <c r="B2" t="s">
        <v>11</v>
      </c>
      <c r="C2" t="s">
        <v>10</v>
      </c>
      <c r="D2" t="s">
        <v>12</v>
      </c>
      <c r="F2" t="s">
        <v>13</v>
      </c>
      <c r="G2" t="s">
        <v>14</v>
      </c>
      <c r="H2" s="1">
        <v>1.21624355951253E-21</v>
      </c>
      <c r="I2" s="1">
        <v>1.1618982291086801E-18</v>
      </c>
      <c r="J2" s="1">
        <v>7.5346173591850704E-19</v>
      </c>
      <c r="K2" t="s">
        <v>15</v>
      </c>
      <c r="L2">
        <v>18</v>
      </c>
    </row>
    <row r="3" spans="1:12">
      <c r="A3" t="s">
        <v>16</v>
      </c>
      <c r="B3" t="s">
        <v>11</v>
      </c>
      <c r="C3" t="s">
        <v>16</v>
      </c>
      <c r="D3" t="s">
        <v>17</v>
      </c>
      <c r="F3" t="s">
        <v>18</v>
      </c>
      <c r="G3" t="s">
        <v>19</v>
      </c>
      <c r="H3" s="1">
        <v>1.5894640617081701E-21</v>
      </c>
      <c r="I3" s="1">
        <v>1.1618982291086801E-18</v>
      </c>
      <c r="J3" s="1">
        <v>7.5346173591850704E-19</v>
      </c>
      <c r="K3" t="s">
        <v>20</v>
      </c>
      <c r="L3">
        <v>17</v>
      </c>
    </row>
    <row r="4" spans="1:12">
      <c r="A4" t="s">
        <v>21</v>
      </c>
      <c r="B4" t="s">
        <v>11</v>
      </c>
      <c r="C4" t="s">
        <v>21</v>
      </c>
      <c r="D4" t="s">
        <v>22</v>
      </c>
      <c r="F4" t="s">
        <v>18</v>
      </c>
      <c r="G4" t="s">
        <v>19</v>
      </c>
      <c r="H4" s="1">
        <v>1.5894640617081701E-21</v>
      </c>
      <c r="I4" s="1">
        <v>1.1618982291086801E-18</v>
      </c>
      <c r="J4" s="1">
        <v>7.5346173591850704E-19</v>
      </c>
      <c r="K4" t="s">
        <v>23</v>
      </c>
      <c r="L4">
        <v>17</v>
      </c>
    </row>
    <row r="5" spans="1:12">
      <c r="A5" t="s">
        <v>24</v>
      </c>
      <c r="B5" t="s">
        <v>11</v>
      </c>
      <c r="C5" t="s">
        <v>24</v>
      </c>
      <c r="D5" t="s">
        <v>25</v>
      </c>
      <c r="F5" t="s">
        <v>26</v>
      </c>
      <c r="G5" t="s">
        <v>27</v>
      </c>
      <c r="H5" s="1">
        <v>2.4154896248601101E-21</v>
      </c>
      <c r="I5" s="1">
        <v>1.3242921868295499E-18</v>
      </c>
      <c r="J5" s="1">
        <v>8.5877012715421201E-19</v>
      </c>
      <c r="K5" t="s">
        <v>28</v>
      </c>
      <c r="L5">
        <v>16</v>
      </c>
    </row>
    <row r="6" spans="1:12">
      <c r="A6" t="s">
        <v>29</v>
      </c>
      <c r="B6" t="s">
        <v>11</v>
      </c>
      <c r="C6" t="s">
        <v>29</v>
      </c>
      <c r="D6" t="s">
        <v>30</v>
      </c>
      <c r="F6" t="s">
        <v>31</v>
      </c>
      <c r="G6" t="s">
        <v>32</v>
      </c>
      <c r="H6" s="1">
        <v>1.07266850857269E-19</v>
      </c>
      <c r="I6" s="1">
        <v>4.7047240785998097E-17</v>
      </c>
      <c r="J6" s="1">
        <v>3.0508950633299001E-17</v>
      </c>
      <c r="K6" t="s">
        <v>33</v>
      </c>
      <c r="L6">
        <v>19</v>
      </c>
    </row>
    <row r="7" spans="1:12">
      <c r="A7" t="s">
        <v>34</v>
      </c>
      <c r="B7" t="s">
        <v>11</v>
      </c>
      <c r="C7" t="s">
        <v>34</v>
      </c>
      <c r="D7" t="s">
        <v>35</v>
      </c>
      <c r="F7" t="s">
        <v>13</v>
      </c>
      <c r="G7" t="s">
        <v>36</v>
      </c>
      <c r="H7" s="1">
        <v>2.5210746542479801E-18</v>
      </c>
      <c r="I7" s="1">
        <v>9.2145278612763594E-16</v>
      </c>
      <c r="J7" s="1">
        <v>5.9753892243666999E-16</v>
      </c>
      <c r="K7" t="s">
        <v>37</v>
      </c>
      <c r="L7">
        <v>18</v>
      </c>
    </row>
    <row r="8" spans="1:12">
      <c r="A8" t="s">
        <v>38</v>
      </c>
      <c r="B8" t="s">
        <v>11</v>
      </c>
      <c r="C8" t="s">
        <v>38</v>
      </c>
      <c r="D8" t="s">
        <v>39</v>
      </c>
      <c r="F8" t="s">
        <v>31</v>
      </c>
      <c r="G8" t="s">
        <v>40</v>
      </c>
      <c r="H8" s="1">
        <v>2.0690474952608399E-17</v>
      </c>
      <c r="I8" s="1">
        <v>6.4820302244386199E-15</v>
      </c>
      <c r="J8" s="1">
        <v>4.2034333324773001E-15</v>
      </c>
      <c r="K8" t="s">
        <v>41</v>
      </c>
      <c r="L8">
        <v>19</v>
      </c>
    </row>
    <row r="9" spans="1:12">
      <c r="A9" t="s">
        <v>42</v>
      </c>
      <c r="B9" t="s">
        <v>11</v>
      </c>
      <c r="C9" t="s">
        <v>42</v>
      </c>
      <c r="D9" t="s">
        <v>43</v>
      </c>
      <c r="F9" t="s">
        <v>31</v>
      </c>
      <c r="G9" t="s">
        <v>44</v>
      </c>
      <c r="H9" s="1">
        <v>6.0424972254301304E-17</v>
      </c>
      <c r="I9" s="1">
        <v>1.6467932128878501E-14</v>
      </c>
      <c r="J9" s="1">
        <v>1.0679039194621599E-14</v>
      </c>
      <c r="K9" t="s">
        <v>45</v>
      </c>
      <c r="L9">
        <v>19</v>
      </c>
    </row>
    <row r="10" spans="1:12">
      <c r="A10" t="s">
        <v>46</v>
      </c>
      <c r="B10" t="s">
        <v>11</v>
      </c>
      <c r="C10" t="s">
        <v>46</v>
      </c>
      <c r="D10" t="s">
        <v>47</v>
      </c>
      <c r="F10" t="s">
        <v>48</v>
      </c>
      <c r="G10" t="s">
        <v>49</v>
      </c>
      <c r="H10" s="1">
        <v>6.7583852786095003E-17</v>
      </c>
      <c r="I10" s="1">
        <v>1.6467932128878501E-14</v>
      </c>
      <c r="J10" s="1">
        <v>1.0679039194621599E-14</v>
      </c>
      <c r="K10" t="s">
        <v>50</v>
      </c>
      <c r="L10">
        <v>20</v>
      </c>
    </row>
    <row r="11" spans="1:12">
      <c r="A11" t="s">
        <v>51</v>
      </c>
      <c r="B11" t="s">
        <v>11</v>
      </c>
      <c r="C11" t="s">
        <v>51</v>
      </c>
      <c r="D11" t="s">
        <v>52</v>
      </c>
      <c r="F11" t="s">
        <v>31</v>
      </c>
      <c r="G11" t="s">
        <v>53</v>
      </c>
      <c r="H11" s="1">
        <v>1.83591873996615E-16</v>
      </c>
      <c r="I11" s="1">
        <v>4.0261697967457702E-14</v>
      </c>
      <c r="J11" s="1">
        <v>2.6108697028360799E-14</v>
      </c>
      <c r="K11" t="s">
        <v>45</v>
      </c>
      <c r="L11">
        <v>19</v>
      </c>
    </row>
    <row r="12" spans="1:12">
      <c r="A12" t="s">
        <v>54</v>
      </c>
      <c r="B12" t="s">
        <v>11</v>
      </c>
      <c r="C12" t="s">
        <v>54</v>
      </c>
      <c r="D12" t="s">
        <v>55</v>
      </c>
      <c r="F12" t="s">
        <v>13</v>
      </c>
      <c r="G12" t="s">
        <v>56</v>
      </c>
      <c r="H12" s="1">
        <v>3.9497910684165098E-16</v>
      </c>
      <c r="I12" s="1">
        <v>7.8744471027612805E-14</v>
      </c>
      <c r="J12" s="1">
        <v>5.1063806061537899E-14</v>
      </c>
      <c r="K12" t="s">
        <v>37</v>
      </c>
      <c r="L12">
        <v>18</v>
      </c>
    </row>
    <row r="13" spans="1:12">
      <c r="A13" t="s">
        <v>57</v>
      </c>
      <c r="B13" t="s">
        <v>11</v>
      </c>
      <c r="C13" t="s">
        <v>57</v>
      </c>
      <c r="D13" t="s">
        <v>58</v>
      </c>
      <c r="F13" t="s">
        <v>31</v>
      </c>
      <c r="G13" t="s">
        <v>59</v>
      </c>
      <c r="H13" s="1">
        <v>6.2219735440332605E-14</v>
      </c>
      <c r="I13" s="1">
        <v>1.13706566517208E-11</v>
      </c>
      <c r="J13" s="1">
        <v>7.3735844368324001E-12</v>
      </c>
      <c r="K13" t="s">
        <v>60</v>
      </c>
      <c r="L13">
        <v>19</v>
      </c>
    </row>
    <row r="14" spans="1:12">
      <c r="A14" t="s">
        <v>61</v>
      </c>
      <c r="B14" t="s">
        <v>11</v>
      </c>
      <c r="C14" t="s">
        <v>61</v>
      </c>
      <c r="D14" t="s">
        <v>62</v>
      </c>
      <c r="F14" t="s">
        <v>63</v>
      </c>
      <c r="G14" t="s">
        <v>64</v>
      </c>
      <c r="H14" s="1">
        <v>6.7479593859370994E-14</v>
      </c>
      <c r="I14" s="1">
        <v>1.1383288410277001E-11</v>
      </c>
      <c r="J14" s="1">
        <v>7.3817758140898897E-12</v>
      </c>
      <c r="K14" t="s">
        <v>65</v>
      </c>
      <c r="L14">
        <v>11</v>
      </c>
    </row>
    <row r="15" spans="1:12">
      <c r="A15" t="s">
        <v>66</v>
      </c>
      <c r="B15" t="s">
        <v>11</v>
      </c>
      <c r="C15" t="s">
        <v>66</v>
      </c>
      <c r="D15" t="s">
        <v>67</v>
      </c>
      <c r="F15" t="s">
        <v>63</v>
      </c>
      <c r="G15" t="s">
        <v>68</v>
      </c>
      <c r="H15" s="1">
        <v>1.7718353411317E-13</v>
      </c>
      <c r="I15" s="1">
        <v>2.59042326873454E-11</v>
      </c>
      <c r="J15" s="1">
        <v>1.67982424271503E-11</v>
      </c>
      <c r="K15" t="s">
        <v>65</v>
      </c>
      <c r="L15">
        <v>11</v>
      </c>
    </row>
    <row r="16" spans="1:12">
      <c r="A16" t="s">
        <v>69</v>
      </c>
      <c r="B16" t="s">
        <v>11</v>
      </c>
      <c r="C16" t="s">
        <v>69</v>
      </c>
      <c r="D16" t="s">
        <v>70</v>
      </c>
      <c r="F16" t="s">
        <v>63</v>
      </c>
      <c r="G16" t="s">
        <v>68</v>
      </c>
      <c r="H16" s="1">
        <v>1.7718353411317E-13</v>
      </c>
      <c r="I16" s="1">
        <v>2.59042326873454E-11</v>
      </c>
      <c r="J16" s="1">
        <v>1.67982424271503E-11</v>
      </c>
      <c r="K16" t="s">
        <v>65</v>
      </c>
      <c r="L16">
        <v>11</v>
      </c>
    </row>
    <row r="17" spans="1:12">
      <c r="A17" t="s">
        <v>71</v>
      </c>
      <c r="B17" t="s">
        <v>11</v>
      </c>
      <c r="C17" t="s">
        <v>71</v>
      </c>
      <c r="D17" t="s">
        <v>72</v>
      </c>
      <c r="F17" t="s">
        <v>26</v>
      </c>
      <c r="G17" t="s">
        <v>73</v>
      </c>
      <c r="H17" s="1">
        <v>2.0333162918776001E-12</v>
      </c>
      <c r="I17" s="1">
        <v>2.7869141425547302E-10</v>
      </c>
      <c r="J17" s="1">
        <v>1.8072436252148901E-10</v>
      </c>
      <c r="K17" t="s">
        <v>74</v>
      </c>
      <c r="L17">
        <v>16</v>
      </c>
    </row>
    <row r="18" spans="1:12">
      <c r="A18" t="s">
        <v>75</v>
      </c>
      <c r="B18" t="s">
        <v>11</v>
      </c>
      <c r="C18" t="s">
        <v>75</v>
      </c>
      <c r="D18" t="s">
        <v>76</v>
      </c>
      <c r="F18" t="s">
        <v>77</v>
      </c>
      <c r="G18" t="s">
        <v>78</v>
      </c>
      <c r="H18" s="1">
        <v>4.52220423259407E-12</v>
      </c>
      <c r="I18" s="1">
        <v>5.8336434600463501E-10</v>
      </c>
      <c r="J18" s="1">
        <v>3.7829708472040801E-10</v>
      </c>
      <c r="K18" t="s">
        <v>79</v>
      </c>
      <c r="L18">
        <v>13</v>
      </c>
    </row>
    <row r="19" spans="1:12">
      <c r="A19" t="s">
        <v>80</v>
      </c>
      <c r="B19" t="s">
        <v>11</v>
      </c>
      <c r="C19" t="s">
        <v>80</v>
      </c>
      <c r="D19" t="s">
        <v>81</v>
      </c>
      <c r="F19" t="s">
        <v>77</v>
      </c>
      <c r="G19" t="s">
        <v>82</v>
      </c>
      <c r="H19" s="1">
        <v>8.7985811679797397E-12</v>
      </c>
      <c r="I19" s="1">
        <v>1.0719604722988599E-9</v>
      </c>
      <c r="J19" s="1">
        <v>6.9513936596143999E-10</v>
      </c>
      <c r="K19" t="s">
        <v>79</v>
      </c>
      <c r="L19">
        <v>13</v>
      </c>
    </row>
    <row r="20" spans="1:12">
      <c r="A20" t="s">
        <v>83</v>
      </c>
      <c r="B20" t="s">
        <v>11</v>
      </c>
      <c r="C20" t="s">
        <v>83</v>
      </c>
      <c r="D20" t="s">
        <v>84</v>
      </c>
      <c r="F20" t="s">
        <v>85</v>
      </c>
      <c r="G20" t="s">
        <v>86</v>
      </c>
      <c r="H20" s="1">
        <v>2.22718897243213E-11</v>
      </c>
      <c r="I20" s="1">
        <v>2.5706449560756201E-9</v>
      </c>
      <c r="J20" s="1">
        <v>1.6669985051278699E-9</v>
      </c>
      <c r="K20" t="s">
        <v>87</v>
      </c>
      <c r="L20">
        <v>10</v>
      </c>
    </row>
    <row r="21" spans="1:12">
      <c r="A21" t="s">
        <v>88</v>
      </c>
      <c r="B21" t="s">
        <v>11</v>
      </c>
      <c r="C21" t="s">
        <v>88</v>
      </c>
      <c r="D21" t="s">
        <v>89</v>
      </c>
      <c r="F21" t="s">
        <v>77</v>
      </c>
      <c r="G21" t="s">
        <v>90</v>
      </c>
      <c r="H21" s="1">
        <v>3.4656505132156299E-11</v>
      </c>
      <c r="I21" s="1">
        <v>3.8000857877409403E-9</v>
      </c>
      <c r="J21" s="1">
        <v>2.4642599175549E-9</v>
      </c>
      <c r="K21" t="s">
        <v>79</v>
      </c>
      <c r="L21">
        <v>13</v>
      </c>
    </row>
    <row r="22" spans="1:12">
      <c r="A22" t="s">
        <v>91</v>
      </c>
      <c r="B22" t="s">
        <v>11</v>
      </c>
      <c r="C22" t="s">
        <v>91</v>
      </c>
      <c r="D22" t="s">
        <v>92</v>
      </c>
      <c r="F22" t="s">
        <v>85</v>
      </c>
      <c r="G22" t="s">
        <v>93</v>
      </c>
      <c r="H22" s="1">
        <v>2.4247242223386801E-10</v>
      </c>
      <c r="I22" s="1">
        <v>2.53210486647082E-8</v>
      </c>
      <c r="J22" s="1">
        <v>1.6420062277591799E-8</v>
      </c>
      <c r="K22" t="s">
        <v>87</v>
      </c>
      <c r="L22">
        <v>10</v>
      </c>
    </row>
    <row r="23" spans="1:12">
      <c r="A23" t="s">
        <v>94</v>
      </c>
      <c r="B23" t="s">
        <v>11</v>
      </c>
      <c r="C23" t="s">
        <v>94</v>
      </c>
      <c r="D23" t="s">
        <v>95</v>
      </c>
      <c r="F23" t="s">
        <v>77</v>
      </c>
      <c r="G23" t="s">
        <v>96</v>
      </c>
      <c r="H23" s="1">
        <v>2.8666524645790899E-9</v>
      </c>
      <c r="I23" s="1">
        <v>2.7431939082215701E-7</v>
      </c>
      <c r="J23" s="1">
        <v>1.7788921544662901E-7</v>
      </c>
      <c r="K23" t="s">
        <v>97</v>
      </c>
      <c r="L23">
        <v>13</v>
      </c>
    </row>
    <row r="24" spans="1:12">
      <c r="A24" t="s">
        <v>98</v>
      </c>
      <c r="B24" t="s">
        <v>11</v>
      </c>
      <c r="C24" t="s">
        <v>98</v>
      </c>
      <c r="D24" t="s">
        <v>99</v>
      </c>
      <c r="F24" t="s">
        <v>100</v>
      </c>
      <c r="G24" t="s">
        <v>101</v>
      </c>
      <c r="H24" s="1">
        <v>2.8770387546327398E-9</v>
      </c>
      <c r="I24" s="1">
        <v>2.7431939082215701E-7</v>
      </c>
      <c r="J24" s="1">
        <v>1.7788921544662901E-7</v>
      </c>
      <c r="K24" t="s">
        <v>102</v>
      </c>
      <c r="L24">
        <v>9</v>
      </c>
    </row>
    <row r="25" spans="1:12">
      <c r="A25" t="s">
        <v>103</v>
      </c>
      <c r="B25" t="s">
        <v>11</v>
      </c>
      <c r="C25" t="s">
        <v>103</v>
      </c>
      <c r="D25" t="s">
        <v>104</v>
      </c>
      <c r="F25" t="s">
        <v>105</v>
      </c>
      <c r="G25" t="s">
        <v>106</v>
      </c>
      <c r="H25" s="1">
        <v>4.0610048011337799E-9</v>
      </c>
      <c r="I25" s="1">
        <v>3.7107431370359901E-7</v>
      </c>
      <c r="J25" s="1">
        <v>2.4063234589174299E-7</v>
      </c>
      <c r="K25" t="s">
        <v>107</v>
      </c>
      <c r="L25">
        <v>14</v>
      </c>
    </row>
    <row r="26" spans="1:12">
      <c r="A26" t="s">
        <v>108</v>
      </c>
      <c r="B26" t="s">
        <v>11</v>
      </c>
      <c r="C26" t="s">
        <v>108</v>
      </c>
      <c r="D26" t="s">
        <v>109</v>
      </c>
      <c r="F26" t="s">
        <v>100</v>
      </c>
      <c r="G26" t="s">
        <v>110</v>
      </c>
      <c r="H26" s="1">
        <v>1.11813154537554E-8</v>
      </c>
      <c r="I26" s="1">
        <v>9.8082499160342597E-7</v>
      </c>
      <c r="J26" s="1">
        <v>6.3604030223257196E-7</v>
      </c>
      <c r="K26" t="s">
        <v>111</v>
      </c>
      <c r="L26">
        <v>9</v>
      </c>
    </row>
    <row r="27" spans="1:12">
      <c r="A27" t="s">
        <v>112</v>
      </c>
      <c r="B27" t="s">
        <v>11</v>
      </c>
      <c r="C27" t="s">
        <v>112</v>
      </c>
      <c r="D27" t="s">
        <v>113</v>
      </c>
      <c r="F27" t="s">
        <v>114</v>
      </c>
      <c r="G27" t="s">
        <v>115</v>
      </c>
      <c r="H27" s="1">
        <v>1.3860042268193E-8</v>
      </c>
      <c r="I27" s="1">
        <v>1.12822777118723E-6</v>
      </c>
      <c r="J27" s="1">
        <v>7.3162729204116E-7</v>
      </c>
      <c r="K27" t="s">
        <v>116</v>
      </c>
      <c r="L27">
        <v>7</v>
      </c>
    </row>
    <row r="28" spans="1:12">
      <c r="A28" t="s">
        <v>117</v>
      </c>
      <c r="B28" t="s">
        <v>11</v>
      </c>
      <c r="C28" t="s">
        <v>117</v>
      </c>
      <c r="D28" t="s">
        <v>118</v>
      </c>
      <c r="F28" t="s">
        <v>119</v>
      </c>
      <c r="G28" t="s">
        <v>120</v>
      </c>
      <c r="H28" s="1">
        <v>1.3890629193823601E-8</v>
      </c>
      <c r="I28" s="1">
        <v>1.12822777118723E-6</v>
      </c>
      <c r="J28" s="1">
        <v>7.3162729204116E-7</v>
      </c>
      <c r="K28" t="s">
        <v>121</v>
      </c>
      <c r="L28">
        <v>6</v>
      </c>
    </row>
    <row r="29" spans="1:12">
      <c r="A29" t="s">
        <v>122</v>
      </c>
      <c r="B29" t="s">
        <v>11</v>
      </c>
      <c r="C29" t="s">
        <v>122</v>
      </c>
      <c r="D29" t="s">
        <v>123</v>
      </c>
      <c r="F29" t="s">
        <v>124</v>
      </c>
      <c r="G29" t="s">
        <v>125</v>
      </c>
      <c r="H29" s="1">
        <v>1.82996755666004E-8</v>
      </c>
      <c r="I29" s="1">
        <v>1.4332567327698101E-6</v>
      </c>
      <c r="J29" s="1">
        <v>9.2943089061944195E-7</v>
      </c>
      <c r="K29" t="s">
        <v>126</v>
      </c>
      <c r="L29">
        <v>8</v>
      </c>
    </row>
    <row r="30" spans="1:12">
      <c r="A30" t="s">
        <v>127</v>
      </c>
      <c r="B30" t="s">
        <v>11</v>
      </c>
      <c r="C30" t="s">
        <v>127</v>
      </c>
      <c r="D30" t="s">
        <v>128</v>
      </c>
      <c r="F30" t="s">
        <v>129</v>
      </c>
      <c r="G30" t="s">
        <v>130</v>
      </c>
      <c r="H30" s="1">
        <v>2.2946257979344799E-8</v>
      </c>
      <c r="I30" s="1">
        <v>1.73521185340356E-6</v>
      </c>
      <c r="J30" s="1">
        <v>1.12524118076569E-6</v>
      </c>
      <c r="K30" t="s">
        <v>131</v>
      </c>
      <c r="L30">
        <v>5</v>
      </c>
    </row>
    <row r="31" spans="1:12">
      <c r="A31" t="s">
        <v>132</v>
      </c>
      <c r="B31" t="s">
        <v>11</v>
      </c>
      <c r="C31" t="s">
        <v>132</v>
      </c>
      <c r="D31" t="s">
        <v>133</v>
      </c>
      <c r="F31" t="s">
        <v>77</v>
      </c>
      <c r="G31" t="s">
        <v>134</v>
      </c>
      <c r="H31" s="1">
        <v>2.5925695237148501E-8</v>
      </c>
      <c r="I31" s="1">
        <v>1.8951683218355599E-6</v>
      </c>
      <c r="J31" s="1">
        <v>1.22896892159255E-6</v>
      </c>
      <c r="K31" t="s">
        <v>135</v>
      </c>
      <c r="L31">
        <v>13</v>
      </c>
    </row>
    <row r="32" spans="1:12">
      <c r="A32" t="s">
        <v>136</v>
      </c>
      <c r="B32" t="s">
        <v>11</v>
      </c>
      <c r="C32" t="s">
        <v>136</v>
      </c>
      <c r="D32" t="s">
        <v>137</v>
      </c>
      <c r="F32" t="s">
        <v>114</v>
      </c>
      <c r="G32" t="s">
        <v>138</v>
      </c>
      <c r="H32" s="1">
        <v>3.5098356018625701E-8</v>
      </c>
      <c r="I32" s="1">
        <v>2.4829256370595601E-6</v>
      </c>
      <c r="J32" s="1">
        <v>1.6101147362024899E-6</v>
      </c>
      <c r="K32" t="s">
        <v>139</v>
      </c>
      <c r="L32">
        <v>7</v>
      </c>
    </row>
    <row r="33" spans="1:12">
      <c r="A33" t="s">
        <v>140</v>
      </c>
      <c r="B33" t="s">
        <v>11</v>
      </c>
      <c r="C33" t="s">
        <v>140</v>
      </c>
      <c r="D33" t="s">
        <v>141</v>
      </c>
      <c r="F33" t="s">
        <v>124</v>
      </c>
      <c r="G33" t="s">
        <v>142</v>
      </c>
      <c r="H33" s="1">
        <v>3.7754408592971701E-8</v>
      </c>
      <c r="I33" s="1">
        <v>2.5827898498702399E-6</v>
      </c>
      <c r="J33" s="1">
        <v>1.67487416285055E-6</v>
      </c>
      <c r="K33" t="s">
        <v>143</v>
      </c>
      <c r="L33">
        <v>8</v>
      </c>
    </row>
    <row r="34" spans="1:12">
      <c r="A34" t="s">
        <v>144</v>
      </c>
      <c r="B34" t="s">
        <v>11</v>
      </c>
      <c r="C34" t="s">
        <v>144</v>
      </c>
      <c r="D34" t="s">
        <v>145</v>
      </c>
      <c r="F34" t="s">
        <v>63</v>
      </c>
      <c r="G34" t="s">
        <v>146</v>
      </c>
      <c r="H34" s="1">
        <v>3.8865510736761501E-8</v>
      </c>
      <c r="I34" s="1">
        <v>2.5827898498702399E-6</v>
      </c>
      <c r="J34" s="1">
        <v>1.67487416285055E-6</v>
      </c>
      <c r="K34" t="s">
        <v>147</v>
      </c>
      <c r="L34">
        <v>11</v>
      </c>
    </row>
    <row r="35" spans="1:12">
      <c r="A35" t="s">
        <v>148</v>
      </c>
      <c r="B35" t="s">
        <v>11</v>
      </c>
      <c r="C35" t="s">
        <v>148</v>
      </c>
      <c r="D35" t="s">
        <v>149</v>
      </c>
      <c r="F35" t="s">
        <v>77</v>
      </c>
      <c r="G35" t="s">
        <v>150</v>
      </c>
      <c r="H35" s="1">
        <v>4.0054482866757503E-8</v>
      </c>
      <c r="I35" s="1">
        <v>2.5835141449058602E-6</v>
      </c>
      <c r="J35" s="1">
        <v>1.67534384993775E-6</v>
      </c>
      <c r="K35" t="s">
        <v>135</v>
      </c>
      <c r="L35">
        <v>13</v>
      </c>
    </row>
    <row r="36" spans="1:12">
      <c r="A36" t="s">
        <v>151</v>
      </c>
      <c r="B36" t="s">
        <v>11</v>
      </c>
      <c r="C36" t="s">
        <v>151</v>
      </c>
      <c r="D36" t="s">
        <v>152</v>
      </c>
      <c r="F36" t="s">
        <v>85</v>
      </c>
      <c r="G36" t="s">
        <v>153</v>
      </c>
      <c r="H36" s="1">
        <v>7.0471783787748494E-8</v>
      </c>
      <c r="I36" s="1">
        <v>4.4155606241866403E-6</v>
      </c>
      <c r="J36" s="1">
        <v>2.8633798465337802E-6</v>
      </c>
      <c r="K36" t="s">
        <v>154</v>
      </c>
      <c r="L36">
        <v>10</v>
      </c>
    </row>
    <row r="37" spans="1:12">
      <c r="A37" t="s">
        <v>155</v>
      </c>
      <c r="B37" t="s">
        <v>11</v>
      </c>
      <c r="C37" t="s">
        <v>155</v>
      </c>
      <c r="D37" t="s">
        <v>156</v>
      </c>
      <c r="F37" t="s">
        <v>157</v>
      </c>
      <c r="G37" t="s">
        <v>158</v>
      </c>
      <c r="H37" s="1">
        <v>9.0966615236476104E-8</v>
      </c>
      <c r="I37" s="1">
        <v>5.5413829781553398E-6</v>
      </c>
      <c r="J37" s="1">
        <v>3.5934472860958799E-6</v>
      </c>
      <c r="K37" t="s">
        <v>159</v>
      </c>
      <c r="L37">
        <v>12</v>
      </c>
    </row>
    <row r="38" spans="1:12">
      <c r="A38" t="s">
        <v>160</v>
      </c>
      <c r="B38" t="s">
        <v>11</v>
      </c>
      <c r="C38" t="s">
        <v>160</v>
      </c>
      <c r="D38" t="s">
        <v>161</v>
      </c>
      <c r="F38" t="s">
        <v>129</v>
      </c>
      <c r="G38" t="s">
        <v>162</v>
      </c>
      <c r="H38" s="1">
        <v>1.01233132200292E-7</v>
      </c>
      <c r="I38" s="1">
        <v>6.0001151058173296E-6</v>
      </c>
      <c r="J38" s="1">
        <v>3.8909235164322897E-6</v>
      </c>
      <c r="K38" t="s">
        <v>163</v>
      </c>
      <c r="L38">
        <v>5</v>
      </c>
    </row>
    <row r="39" spans="1:12">
      <c r="A39" t="s">
        <v>164</v>
      </c>
      <c r="B39" t="s">
        <v>11</v>
      </c>
      <c r="C39" t="s">
        <v>164</v>
      </c>
      <c r="D39" t="s">
        <v>165</v>
      </c>
      <c r="F39" t="s">
        <v>124</v>
      </c>
      <c r="G39" t="s">
        <v>166</v>
      </c>
      <c r="H39" s="1">
        <v>1.07655131508213E-7</v>
      </c>
      <c r="I39" s="1">
        <v>6.2128342999345103E-6</v>
      </c>
      <c r="J39" s="1">
        <v>4.0288665558890801E-6</v>
      </c>
      <c r="K39" t="s">
        <v>167</v>
      </c>
      <c r="L39">
        <v>8</v>
      </c>
    </row>
    <row r="40" spans="1:12">
      <c r="A40" t="s">
        <v>168</v>
      </c>
      <c r="B40" t="s">
        <v>11</v>
      </c>
      <c r="C40" t="s">
        <v>168</v>
      </c>
      <c r="D40" t="s">
        <v>169</v>
      </c>
      <c r="F40" t="s">
        <v>100</v>
      </c>
      <c r="G40" t="s">
        <v>170</v>
      </c>
      <c r="H40" s="1">
        <v>1.2694522969924199E-7</v>
      </c>
      <c r="I40" s="1">
        <v>7.1382279161650704E-6</v>
      </c>
      <c r="J40" s="1">
        <v>4.6289610073866703E-6</v>
      </c>
      <c r="K40" t="s">
        <v>171</v>
      </c>
      <c r="L40">
        <v>9</v>
      </c>
    </row>
    <row r="41" spans="1:12">
      <c r="A41" t="s">
        <v>172</v>
      </c>
      <c r="B41" t="s">
        <v>11</v>
      </c>
      <c r="C41" t="s">
        <v>172</v>
      </c>
      <c r="D41" t="s">
        <v>173</v>
      </c>
      <c r="F41" t="s">
        <v>100</v>
      </c>
      <c r="G41" t="s">
        <v>174</v>
      </c>
      <c r="H41" s="1">
        <v>1.3795300193028101E-7</v>
      </c>
      <c r="I41" s="1">
        <v>7.5111690165752104E-6</v>
      </c>
      <c r="J41" s="1">
        <v>4.8708039174373601E-6</v>
      </c>
      <c r="K41" t="s">
        <v>175</v>
      </c>
      <c r="L41">
        <v>9</v>
      </c>
    </row>
    <row r="42" spans="1:12">
      <c r="A42" t="s">
        <v>176</v>
      </c>
      <c r="B42" t="s">
        <v>11</v>
      </c>
      <c r="C42" t="s">
        <v>176</v>
      </c>
      <c r="D42" t="s">
        <v>177</v>
      </c>
      <c r="F42" t="s">
        <v>124</v>
      </c>
      <c r="G42" t="s">
        <v>178</v>
      </c>
      <c r="H42" s="1">
        <v>1.4042769251234999E-7</v>
      </c>
      <c r="I42" s="1">
        <v>7.5111690165752104E-6</v>
      </c>
      <c r="J42" s="1">
        <v>4.8708039174373601E-6</v>
      </c>
      <c r="K42" t="s">
        <v>179</v>
      </c>
      <c r="L42">
        <v>8</v>
      </c>
    </row>
    <row r="43" spans="1:12">
      <c r="A43" t="s">
        <v>180</v>
      </c>
      <c r="B43" t="s">
        <v>11</v>
      </c>
      <c r="C43" t="s">
        <v>180</v>
      </c>
      <c r="D43" t="s">
        <v>181</v>
      </c>
      <c r="F43" t="s">
        <v>182</v>
      </c>
      <c r="G43" t="s">
        <v>183</v>
      </c>
      <c r="H43" s="1">
        <v>1.6781218572701601E-7</v>
      </c>
      <c r="I43" s="1">
        <v>8.7621934118891996E-6</v>
      </c>
      <c r="J43" s="1">
        <v>5.68206172724809E-6</v>
      </c>
      <c r="K43" t="s">
        <v>184</v>
      </c>
      <c r="L43">
        <v>4</v>
      </c>
    </row>
    <row r="44" spans="1:12">
      <c r="A44" t="s">
        <v>185</v>
      </c>
      <c r="B44" t="s">
        <v>11</v>
      </c>
      <c r="C44" t="s">
        <v>185</v>
      </c>
      <c r="D44" t="s">
        <v>186</v>
      </c>
      <c r="F44" t="s">
        <v>157</v>
      </c>
      <c r="G44" t="s">
        <v>187</v>
      </c>
      <c r="H44" s="1">
        <v>1.8444591084624899E-7</v>
      </c>
      <c r="I44" s="1">
        <v>9.2905125241770302E-6</v>
      </c>
      <c r="J44" s="1">
        <v>6.0246633643714E-6</v>
      </c>
      <c r="K44" t="s">
        <v>188</v>
      </c>
      <c r="L44">
        <v>12</v>
      </c>
    </row>
    <row r="45" spans="1:12">
      <c r="A45" t="s">
        <v>189</v>
      </c>
      <c r="B45" t="s">
        <v>11</v>
      </c>
      <c r="C45" t="s">
        <v>189</v>
      </c>
      <c r="D45" t="s">
        <v>190</v>
      </c>
      <c r="F45" t="s">
        <v>114</v>
      </c>
      <c r="G45" t="s">
        <v>191</v>
      </c>
      <c r="H45" s="1">
        <v>1.8640335205827101E-7</v>
      </c>
      <c r="I45" s="1">
        <v>9.2905125241770302E-6</v>
      </c>
      <c r="J45" s="1">
        <v>6.0246633643714E-6</v>
      </c>
      <c r="K45" t="s">
        <v>192</v>
      </c>
      <c r="L45">
        <v>7</v>
      </c>
    </row>
    <row r="46" spans="1:12">
      <c r="A46" t="s">
        <v>193</v>
      </c>
      <c r="B46" t="s">
        <v>11</v>
      </c>
      <c r="C46" t="s">
        <v>193</v>
      </c>
      <c r="D46" t="s">
        <v>194</v>
      </c>
      <c r="F46" t="s">
        <v>63</v>
      </c>
      <c r="G46" t="s">
        <v>195</v>
      </c>
      <c r="H46" s="1">
        <v>2.9224162074850298E-7</v>
      </c>
      <c r="I46" s="1">
        <v>1.4241908317810399E-5</v>
      </c>
      <c r="J46" s="1">
        <v>9.2355188217830992E-6</v>
      </c>
      <c r="K46" t="s">
        <v>196</v>
      </c>
      <c r="L46">
        <v>11</v>
      </c>
    </row>
    <row r="47" spans="1:12">
      <c r="A47" t="s">
        <v>197</v>
      </c>
      <c r="B47" t="s">
        <v>11</v>
      </c>
      <c r="C47" t="s">
        <v>197</v>
      </c>
      <c r="D47" t="s">
        <v>198</v>
      </c>
      <c r="F47" t="s">
        <v>85</v>
      </c>
      <c r="G47" t="s">
        <v>199</v>
      </c>
      <c r="H47" s="1">
        <v>3.1071788539054299E-7</v>
      </c>
      <c r="I47" s="1">
        <v>1.48131374491622E-5</v>
      </c>
      <c r="J47" s="1">
        <v>9.60594652546048E-6</v>
      </c>
      <c r="K47" t="s">
        <v>200</v>
      </c>
      <c r="L47">
        <v>10</v>
      </c>
    </row>
    <row r="48" spans="1:12">
      <c r="A48" t="s">
        <v>201</v>
      </c>
      <c r="B48" t="s">
        <v>11</v>
      </c>
      <c r="C48" t="s">
        <v>201</v>
      </c>
      <c r="D48" t="s">
        <v>202</v>
      </c>
      <c r="F48" t="s">
        <v>100</v>
      </c>
      <c r="G48" t="s">
        <v>203</v>
      </c>
      <c r="H48" s="1">
        <v>3.6396738200564799E-7</v>
      </c>
      <c r="I48" s="1">
        <v>1.6982563164646499E-5</v>
      </c>
      <c r="J48" s="1">
        <v>1.1012764458894299E-5</v>
      </c>
      <c r="K48" t="s">
        <v>204</v>
      </c>
      <c r="L48">
        <v>9</v>
      </c>
    </row>
    <row r="49" spans="1:12">
      <c r="A49" t="s">
        <v>205</v>
      </c>
      <c r="B49" t="s">
        <v>11</v>
      </c>
      <c r="C49" t="s">
        <v>205</v>
      </c>
      <c r="D49" t="s">
        <v>206</v>
      </c>
      <c r="F49" t="s">
        <v>100</v>
      </c>
      <c r="G49" t="s">
        <v>207</v>
      </c>
      <c r="H49" s="1">
        <v>3.9135296017339099E-7</v>
      </c>
      <c r="I49" s="1">
        <v>1.78799383679218E-5</v>
      </c>
      <c r="J49" s="1">
        <v>1.15946896753125E-5</v>
      </c>
      <c r="K49" t="s">
        <v>208</v>
      </c>
      <c r="L49">
        <v>9</v>
      </c>
    </row>
    <row r="50" spans="1:12">
      <c r="A50" t="s">
        <v>209</v>
      </c>
      <c r="B50" t="s">
        <v>11</v>
      </c>
      <c r="C50" t="s">
        <v>209</v>
      </c>
      <c r="D50" t="s">
        <v>210</v>
      </c>
      <c r="F50" t="s">
        <v>100</v>
      </c>
      <c r="G50" t="s">
        <v>82</v>
      </c>
      <c r="H50" s="1">
        <v>4.05704202483357E-7</v>
      </c>
      <c r="I50" s="1">
        <v>1.8157332980530599E-5</v>
      </c>
      <c r="J50" s="1">
        <v>1.1774573094629799E-5</v>
      </c>
      <c r="K50" t="s">
        <v>211</v>
      </c>
      <c r="L50">
        <v>9</v>
      </c>
    </row>
    <row r="51" spans="1:12">
      <c r="A51" t="s">
        <v>212</v>
      </c>
      <c r="B51" t="s">
        <v>11</v>
      </c>
      <c r="C51" t="s">
        <v>212</v>
      </c>
      <c r="D51" t="s">
        <v>213</v>
      </c>
      <c r="F51" t="s">
        <v>124</v>
      </c>
      <c r="G51" t="s">
        <v>214</v>
      </c>
      <c r="H51" s="1">
        <v>4.4463216762360202E-7</v>
      </c>
      <c r="I51" s="1">
        <v>1.95015668719712E-5</v>
      </c>
      <c r="J51" s="1">
        <v>1.2646274914936501E-5</v>
      </c>
      <c r="K51" t="s">
        <v>215</v>
      </c>
      <c r="L51">
        <v>8</v>
      </c>
    </row>
    <row r="52" spans="1:12">
      <c r="A52" t="s">
        <v>216</v>
      </c>
      <c r="B52" t="s">
        <v>11</v>
      </c>
      <c r="C52" t="s">
        <v>216</v>
      </c>
      <c r="D52" t="s">
        <v>217</v>
      </c>
      <c r="F52" t="s">
        <v>119</v>
      </c>
      <c r="G52" t="s">
        <v>218</v>
      </c>
      <c r="H52" s="1">
        <v>4.7505865408214902E-7</v>
      </c>
      <c r="I52" s="1">
        <v>2.0427522125532401E-5</v>
      </c>
      <c r="J52" s="1">
        <v>1.32467335740967E-5</v>
      </c>
      <c r="K52" t="s">
        <v>121</v>
      </c>
      <c r="L52">
        <v>6</v>
      </c>
    </row>
    <row r="53" spans="1:12">
      <c r="A53" t="s">
        <v>219</v>
      </c>
      <c r="B53" t="s">
        <v>11</v>
      </c>
      <c r="C53" t="s">
        <v>219</v>
      </c>
      <c r="D53" t="s">
        <v>220</v>
      </c>
      <c r="F53" t="s">
        <v>85</v>
      </c>
      <c r="G53" t="s">
        <v>221</v>
      </c>
      <c r="H53" s="1">
        <v>5.0197407014554396E-7</v>
      </c>
      <c r="I53" s="1">
        <v>2.1169791073637999E-5</v>
      </c>
      <c r="J53" s="1">
        <v>1.37280762908225E-5</v>
      </c>
      <c r="K53" t="s">
        <v>222</v>
      </c>
      <c r="L53">
        <v>10</v>
      </c>
    </row>
    <row r="54" spans="1:12">
      <c r="A54" t="s">
        <v>223</v>
      </c>
      <c r="B54" t="s">
        <v>11</v>
      </c>
      <c r="C54" t="s">
        <v>223</v>
      </c>
      <c r="D54" t="s">
        <v>224</v>
      </c>
      <c r="F54" t="s">
        <v>85</v>
      </c>
      <c r="G54" t="s">
        <v>225</v>
      </c>
      <c r="H54" s="1">
        <v>5.16775998552148E-7</v>
      </c>
      <c r="I54" s="1">
        <v>2.1382825751412499E-5</v>
      </c>
      <c r="J54" s="1">
        <v>1.38662239134846E-5</v>
      </c>
      <c r="K54" t="s">
        <v>226</v>
      </c>
      <c r="L54">
        <v>10</v>
      </c>
    </row>
    <row r="55" spans="1:12">
      <c r="A55" t="s">
        <v>227</v>
      </c>
      <c r="B55" t="s">
        <v>11</v>
      </c>
      <c r="C55" t="s">
        <v>227</v>
      </c>
      <c r="D55" t="s">
        <v>228</v>
      </c>
      <c r="F55" t="s">
        <v>157</v>
      </c>
      <c r="G55" t="s">
        <v>59</v>
      </c>
      <c r="H55" s="1">
        <v>6.3001209919986098E-7</v>
      </c>
      <c r="I55" s="1">
        <v>2.55854913619499E-5</v>
      </c>
      <c r="J55" s="1">
        <v>1.6591546706023599E-5</v>
      </c>
      <c r="K55" t="s">
        <v>229</v>
      </c>
      <c r="L55">
        <v>12</v>
      </c>
    </row>
    <row r="56" spans="1:12">
      <c r="A56" t="s">
        <v>230</v>
      </c>
      <c r="B56" t="s">
        <v>11</v>
      </c>
      <c r="C56" t="s">
        <v>230</v>
      </c>
      <c r="D56" t="s">
        <v>231</v>
      </c>
      <c r="F56" t="s">
        <v>182</v>
      </c>
      <c r="G56" t="s">
        <v>232</v>
      </c>
      <c r="H56" s="1">
        <v>7.0732128342307496E-7</v>
      </c>
      <c r="I56" s="1">
        <v>2.82028286281237E-5</v>
      </c>
      <c r="J56" s="1">
        <v>1.8288823998173701E-5</v>
      </c>
      <c r="K56" t="s">
        <v>233</v>
      </c>
      <c r="L56">
        <v>4</v>
      </c>
    </row>
    <row r="57" spans="1:12">
      <c r="A57" t="s">
        <v>234</v>
      </c>
      <c r="B57" t="s">
        <v>11</v>
      </c>
      <c r="C57" t="s">
        <v>234</v>
      </c>
      <c r="D57" t="s">
        <v>235</v>
      </c>
      <c r="F57" t="s">
        <v>114</v>
      </c>
      <c r="G57" t="s">
        <v>236</v>
      </c>
      <c r="H57" s="1">
        <v>7.7854372671408504E-7</v>
      </c>
      <c r="I57" s="1">
        <v>3.0488328440785501E-5</v>
      </c>
      <c r="J57" s="1">
        <v>1.9770913059976099E-5</v>
      </c>
      <c r="K57" t="s">
        <v>237</v>
      </c>
      <c r="L57">
        <v>7</v>
      </c>
    </row>
    <row r="58" spans="1:12">
      <c r="A58" t="s">
        <v>238</v>
      </c>
      <c r="B58" t="s">
        <v>11</v>
      </c>
      <c r="C58" t="s">
        <v>238</v>
      </c>
      <c r="D58" t="s">
        <v>239</v>
      </c>
      <c r="F58" t="s">
        <v>182</v>
      </c>
      <c r="G58" t="s">
        <v>240</v>
      </c>
      <c r="H58" s="1">
        <v>8.9321287522383903E-7</v>
      </c>
      <c r="I58" s="1">
        <v>3.4365190094138198E-5</v>
      </c>
      <c r="J58" s="1">
        <v>2.22849601925652E-5</v>
      </c>
      <c r="K58" t="s">
        <v>241</v>
      </c>
      <c r="L58">
        <v>4</v>
      </c>
    </row>
    <row r="59" spans="1:12">
      <c r="A59" t="s">
        <v>242</v>
      </c>
      <c r="B59" t="s">
        <v>11</v>
      </c>
      <c r="C59" t="s">
        <v>242</v>
      </c>
      <c r="D59" t="s">
        <v>243</v>
      </c>
      <c r="F59" t="s">
        <v>85</v>
      </c>
      <c r="G59" t="s">
        <v>244</v>
      </c>
      <c r="H59" s="1">
        <v>1.03487771114641E-6</v>
      </c>
      <c r="I59" s="1">
        <v>3.9129083112829001E-5</v>
      </c>
      <c r="J59" s="1">
        <v>2.5374224823208801E-5</v>
      </c>
      <c r="K59" t="s">
        <v>226</v>
      </c>
      <c r="L59">
        <v>10</v>
      </c>
    </row>
    <row r="60" spans="1:12">
      <c r="A60" t="s">
        <v>245</v>
      </c>
      <c r="B60" t="s">
        <v>11</v>
      </c>
      <c r="C60" t="s">
        <v>245</v>
      </c>
      <c r="D60" t="s">
        <v>246</v>
      </c>
      <c r="F60" t="s">
        <v>114</v>
      </c>
      <c r="G60" t="s">
        <v>247</v>
      </c>
      <c r="H60" s="1">
        <v>1.2355076065296401E-6</v>
      </c>
      <c r="I60" s="1">
        <v>4.5923189510499802E-5</v>
      </c>
      <c r="J60" s="1">
        <v>2.9780031693515399E-5</v>
      </c>
      <c r="K60" t="s">
        <v>237</v>
      </c>
      <c r="L60">
        <v>7</v>
      </c>
    </row>
    <row r="61" spans="1:12">
      <c r="A61" t="s">
        <v>248</v>
      </c>
      <c r="B61" t="s">
        <v>11</v>
      </c>
      <c r="C61" t="s">
        <v>248</v>
      </c>
      <c r="D61" t="s">
        <v>249</v>
      </c>
      <c r="F61" t="s">
        <v>85</v>
      </c>
      <c r="G61" t="s">
        <v>250</v>
      </c>
      <c r="H61" s="1">
        <v>1.3444655997049801E-6</v>
      </c>
      <c r="I61" s="1">
        <v>4.9140217669217097E-5</v>
      </c>
      <c r="J61" s="1">
        <v>3.1866193424586497E-5</v>
      </c>
      <c r="K61" t="s">
        <v>251</v>
      </c>
      <c r="L61">
        <v>10</v>
      </c>
    </row>
    <row r="62" spans="1:12">
      <c r="A62" t="s">
        <v>252</v>
      </c>
      <c r="B62" t="s">
        <v>11</v>
      </c>
      <c r="C62" t="s">
        <v>252</v>
      </c>
      <c r="D62" t="s">
        <v>253</v>
      </c>
      <c r="F62" t="s">
        <v>114</v>
      </c>
      <c r="G62" t="s">
        <v>166</v>
      </c>
      <c r="H62" s="1">
        <v>1.73018660979722E-6</v>
      </c>
      <c r="I62" s="1">
        <v>6.2201626807955904E-5</v>
      </c>
      <c r="J62" s="1">
        <v>4.0336188262917098E-5</v>
      </c>
      <c r="K62" t="s">
        <v>237</v>
      </c>
      <c r="L62">
        <v>7</v>
      </c>
    </row>
    <row r="63" spans="1:12">
      <c r="A63" t="s">
        <v>254</v>
      </c>
      <c r="B63" t="s">
        <v>11</v>
      </c>
      <c r="C63" t="s">
        <v>254</v>
      </c>
      <c r="D63" t="s">
        <v>255</v>
      </c>
      <c r="F63" t="s">
        <v>63</v>
      </c>
      <c r="G63" t="s">
        <v>256</v>
      </c>
      <c r="H63" s="1">
        <v>2.3077055797316899E-6</v>
      </c>
      <c r="I63" s="1">
        <v>8.1625779618574104E-5</v>
      </c>
      <c r="J63" s="1">
        <v>5.2932262108956E-5</v>
      </c>
      <c r="K63" t="s">
        <v>257</v>
      </c>
      <c r="L63">
        <v>11</v>
      </c>
    </row>
    <row r="64" spans="1:12">
      <c r="A64" t="s">
        <v>258</v>
      </c>
      <c r="B64" t="s">
        <v>11</v>
      </c>
      <c r="C64" t="s">
        <v>258</v>
      </c>
      <c r="D64" t="s">
        <v>259</v>
      </c>
      <c r="F64" t="s">
        <v>114</v>
      </c>
      <c r="G64" t="s">
        <v>260</v>
      </c>
      <c r="H64" s="1">
        <v>2.9613255639796E-6</v>
      </c>
      <c r="I64">
        <v>1.0308233272709901E-4</v>
      </c>
      <c r="J64" s="1">
        <v>6.6846296356498603E-5</v>
      </c>
      <c r="K64" t="s">
        <v>261</v>
      </c>
      <c r="L64">
        <v>7</v>
      </c>
    </row>
    <row r="65" spans="1:12">
      <c r="A65" t="s">
        <v>262</v>
      </c>
      <c r="B65" t="s">
        <v>11</v>
      </c>
      <c r="C65" t="s">
        <v>262</v>
      </c>
      <c r="D65" t="s">
        <v>263</v>
      </c>
      <c r="F65" t="s">
        <v>124</v>
      </c>
      <c r="G65" t="s">
        <v>264</v>
      </c>
      <c r="H65" s="1">
        <v>3.1316768882367699E-6</v>
      </c>
      <c r="I65">
        <v>1.07308865873488E-4</v>
      </c>
      <c r="J65" s="1">
        <v>6.9587096644866504E-5</v>
      </c>
      <c r="K65" t="s">
        <v>265</v>
      </c>
      <c r="L65">
        <v>8</v>
      </c>
    </row>
    <row r="66" spans="1:12">
      <c r="A66" t="s">
        <v>266</v>
      </c>
      <c r="B66" t="s">
        <v>11</v>
      </c>
      <c r="C66" t="s">
        <v>266</v>
      </c>
      <c r="D66" t="s">
        <v>267</v>
      </c>
      <c r="F66" t="s">
        <v>63</v>
      </c>
      <c r="G66" t="s">
        <v>268</v>
      </c>
      <c r="H66" s="1">
        <v>3.67589392190718E-6</v>
      </c>
      <c r="I66">
        <v>1.2401900570373E-4</v>
      </c>
      <c r="J66" s="1">
        <v>8.0423201433143195E-5</v>
      </c>
      <c r="K66" t="s">
        <v>269</v>
      </c>
      <c r="L66">
        <v>11</v>
      </c>
    </row>
    <row r="67" spans="1:12">
      <c r="A67" t="s">
        <v>270</v>
      </c>
      <c r="B67" t="s">
        <v>11</v>
      </c>
      <c r="C67" t="s">
        <v>270</v>
      </c>
      <c r="D67" t="s">
        <v>271</v>
      </c>
      <c r="F67" t="s">
        <v>129</v>
      </c>
      <c r="G67" t="s">
        <v>272</v>
      </c>
      <c r="H67" s="1">
        <v>3.8851889237635801E-6</v>
      </c>
      <c r="I67">
        <v>1.2909423196687199E-4</v>
      </c>
      <c r="J67" s="1">
        <v>8.3714357831014296E-5</v>
      </c>
      <c r="K67" t="s">
        <v>163</v>
      </c>
      <c r="L67">
        <v>5</v>
      </c>
    </row>
    <row r="68" spans="1:12">
      <c r="A68" t="s">
        <v>273</v>
      </c>
      <c r="B68" t="s">
        <v>11</v>
      </c>
      <c r="C68" t="s">
        <v>273</v>
      </c>
      <c r="D68" t="s">
        <v>274</v>
      </c>
      <c r="F68" t="s">
        <v>119</v>
      </c>
      <c r="G68" t="s">
        <v>27</v>
      </c>
      <c r="H68" s="1">
        <v>4.2871822217176402E-6</v>
      </c>
      <c r="I68">
        <v>1.4032523301831001E-4</v>
      </c>
      <c r="J68" s="1">
        <v>9.0997379128680798E-5</v>
      </c>
      <c r="K68" t="s">
        <v>275</v>
      </c>
      <c r="L68">
        <v>6</v>
      </c>
    </row>
    <row r="69" spans="1:12">
      <c r="A69" t="s">
        <v>276</v>
      </c>
      <c r="B69" t="s">
        <v>11</v>
      </c>
      <c r="C69" t="s">
        <v>276</v>
      </c>
      <c r="D69" t="s">
        <v>277</v>
      </c>
      <c r="F69" t="s">
        <v>85</v>
      </c>
      <c r="G69" t="s">
        <v>278</v>
      </c>
      <c r="H69" s="1">
        <v>4.4260649188921102E-6</v>
      </c>
      <c r="I69">
        <v>1.4274059363427E-4</v>
      </c>
      <c r="J69" s="1">
        <v>9.2563679650514499E-5</v>
      </c>
      <c r="K69" t="s">
        <v>279</v>
      </c>
      <c r="L69">
        <v>10</v>
      </c>
    </row>
    <row r="70" spans="1:12">
      <c r="A70" t="s">
        <v>280</v>
      </c>
      <c r="B70" t="s">
        <v>11</v>
      </c>
      <c r="C70" t="s">
        <v>280</v>
      </c>
      <c r="D70" t="s">
        <v>281</v>
      </c>
      <c r="F70" t="s">
        <v>119</v>
      </c>
      <c r="G70" t="s">
        <v>282</v>
      </c>
      <c r="H70" s="1">
        <v>4.5274781107564096E-6</v>
      </c>
      <c r="I70">
        <v>1.4389506517230199E-4</v>
      </c>
      <c r="J70" s="1">
        <v>9.3312325364331198E-5</v>
      </c>
      <c r="K70" t="s">
        <v>283</v>
      </c>
      <c r="L70">
        <v>6</v>
      </c>
    </row>
    <row r="71" spans="1:12">
      <c r="A71" t="s">
        <v>284</v>
      </c>
      <c r="B71" t="s">
        <v>11</v>
      </c>
      <c r="C71" t="s">
        <v>284</v>
      </c>
      <c r="D71" t="s">
        <v>285</v>
      </c>
      <c r="F71" t="s">
        <v>114</v>
      </c>
      <c r="G71" t="s">
        <v>286</v>
      </c>
      <c r="H71" s="1">
        <v>5.2473831431634802E-6</v>
      </c>
      <c r="I71">
        <v>1.64393017613679E-4</v>
      </c>
      <c r="J71">
        <v>1.06604731224269E-4</v>
      </c>
      <c r="K71" t="s">
        <v>287</v>
      </c>
      <c r="L71">
        <v>7</v>
      </c>
    </row>
    <row r="72" spans="1:12">
      <c r="A72" t="s">
        <v>288</v>
      </c>
      <c r="B72" t="s">
        <v>11</v>
      </c>
      <c r="C72" t="s">
        <v>288</v>
      </c>
      <c r="D72" t="s">
        <v>289</v>
      </c>
      <c r="F72" t="s">
        <v>129</v>
      </c>
      <c r="G72" t="s">
        <v>290</v>
      </c>
      <c r="H72" s="1">
        <v>5.3868960940409401E-6</v>
      </c>
      <c r="I72">
        <v>1.6638680470748999E-4</v>
      </c>
      <c r="J72">
        <v>1.07897651935497E-4</v>
      </c>
      <c r="K72" t="s">
        <v>163</v>
      </c>
      <c r="L72">
        <v>5</v>
      </c>
    </row>
    <row r="73" spans="1:12">
      <c r="A73" t="s">
        <v>291</v>
      </c>
      <c r="B73" t="s">
        <v>11</v>
      </c>
      <c r="C73" t="s">
        <v>291</v>
      </c>
      <c r="D73" t="s">
        <v>292</v>
      </c>
      <c r="F73" t="s">
        <v>129</v>
      </c>
      <c r="G73" t="s">
        <v>293</v>
      </c>
      <c r="H73" s="1">
        <v>6.2908946789181801E-6</v>
      </c>
      <c r="I73">
        <v>1.9161016709538301E-4</v>
      </c>
      <c r="J73">
        <v>1.2425436712307699E-4</v>
      </c>
      <c r="K73" t="s">
        <v>294</v>
      </c>
      <c r="L73">
        <v>5</v>
      </c>
    </row>
    <row r="74" spans="1:12">
      <c r="A74" t="s">
        <v>295</v>
      </c>
      <c r="B74" t="s">
        <v>11</v>
      </c>
      <c r="C74" t="s">
        <v>295</v>
      </c>
      <c r="D74" t="s">
        <v>296</v>
      </c>
      <c r="F74" t="s">
        <v>85</v>
      </c>
      <c r="G74" t="s">
        <v>297</v>
      </c>
      <c r="H74" s="1">
        <v>6.7988921292090299E-6</v>
      </c>
      <c r="I74">
        <v>2.0424617040212901E-4</v>
      </c>
      <c r="J74">
        <v>1.3244849699439699E-4</v>
      </c>
      <c r="K74" t="s">
        <v>298</v>
      </c>
      <c r="L74">
        <v>10</v>
      </c>
    </row>
    <row r="75" spans="1:12">
      <c r="A75" t="s">
        <v>299</v>
      </c>
      <c r="B75" t="s">
        <v>11</v>
      </c>
      <c r="C75" t="s">
        <v>299</v>
      </c>
      <c r="D75" t="s">
        <v>300</v>
      </c>
      <c r="F75" t="s">
        <v>119</v>
      </c>
      <c r="G75" t="s">
        <v>301</v>
      </c>
      <c r="H75" s="1">
        <v>7.22414591203042E-6</v>
      </c>
      <c r="I75">
        <v>2.1244416747464299E-4</v>
      </c>
      <c r="J75">
        <v>1.37764691606424E-4</v>
      </c>
      <c r="K75" t="s">
        <v>302</v>
      </c>
      <c r="L75">
        <v>6</v>
      </c>
    </row>
    <row r="76" spans="1:12">
      <c r="A76" t="s">
        <v>303</v>
      </c>
      <c r="B76" t="s">
        <v>11</v>
      </c>
      <c r="C76" t="s">
        <v>303</v>
      </c>
      <c r="D76" t="s">
        <v>304</v>
      </c>
      <c r="F76" t="s">
        <v>124</v>
      </c>
      <c r="G76" t="s">
        <v>305</v>
      </c>
      <c r="H76" s="1">
        <v>7.2655324033735704E-6</v>
      </c>
      <c r="I76">
        <v>2.1244416747464299E-4</v>
      </c>
      <c r="J76">
        <v>1.37764691606424E-4</v>
      </c>
      <c r="K76" t="s">
        <v>306</v>
      </c>
      <c r="L76">
        <v>8</v>
      </c>
    </row>
    <row r="77" spans="1:12">
      <c r="A77" t="s">
        <v>307</v>
      </c>
      <c r="B77" t="s">
        <v>11</v>
      </c>
      <c r="C77" t="s">
        <v>307</v>
      </c>
      <c r="D77" t="s">
        <v>308</v>
      </c>
      <c r="F77" t="s">
        <v>119</v>
      </c>
      <c r="G77" t="s">
        <v>309</v>
      </c>
      <c r="H77" s="1">
        <v>8.3685285958429105E-6</v>
      </c>
      <c r="I77">
        <v>2.41476094877415E-4</v>
      </c>
      <c r="J77">
        <v>1.5659116527678399E-4</v>
      </c>
      <c r="K77" t="s">
        <v>275</v>
      </c>
      <c r="L77">
        <v>6</v>
      </c>
    </row>
    <row r="78" spans="1:12">
      <c r="A78" t="s">
        <v>310</v>
      </c>
      <c r="B78" t="s">
        <v>11</v>
      </c>
      <c r="C78" t="s">
        <v>310</v>
      </c>
      <c r="D78" t="s">
        <v>311</v>
      </c>
      <c r="F78" t="s">
        <v>312</v>
      </c>
      <c r="G78" t="s">
        <v>313</v>
      </c>
      <c r="H78" s="1">
        <v>1.0069163575357799E-5</v>
      </c>
      <c r="I78">
        <v>2.8677500936051602E-4</v>
      </c>
      <c r="J78">
        <v>1.8596637033914501E-4</v>
      </c>
      <c r="K78" t="s">
        <v>314</v>
      </c>
      <c r="L78">
        <v>3</v>
      </c>
    </row>
    <row r="79" spans="1:12">
      <c r="A79" t="s">
        <v>315</v>
      </c>
      <c r="B79" t="s">
        <v>11</v>
      </c>
      <c r="C79" t="s">
        <v>315</v>
      </c>
      <c r="D79" t="s">
        <v>316</v>
      </c>
      <c r="F79" t="s">
        <v>119</v>
      </c>
      <c r="G79" t="s">
        <v>317</v>
      </c>
      <c r="H79" s="1">
        <v>1.05995282608848E-5</v>
      </c>
      <c r="I79">
        <v>2.9800981379641498E-4</v>
      </c>
      <c r="J79">
        <v>1.9325185803583501E-4</v>
      </c>
      <c r="K79" t="s">
        <v>318</v>
      </c>
      <c r="L79">
        <v>6</v>
      </c>
    </row>
    <row r="80" spans="1:12">
      <c r="A80" t="s">
        <v>319</v>
      </c>
      <c r="B80" t="s">
        <v>11</v>
      </c>
      <c r="C80" t="s">
        <v>319</v>
      </c>
      <c r="D80" t="s">
        <v>320</v>
      </c>
      <c r="F80" t="s">
        <v>119</v>
      </c>
      <c r="G80" t="s">
        <v>236</v>
      </c>
      <c r="H80" s="1">
        <v>1.2154170345538E-5</v>
      </c>
      <c r="I80">
        <v>3.3739361478183402E-4</v>
      </c>
      <c r="J80">
        <v>2.1879126098363599E-4</v>
      </c>
      <c r="K80" t="s">
        <v>321</v>
      </c>
      <c r="L80">
        <v>6</v>
      </c>
    </row>
    <row r="81" spans="1:12">
      <c r="A81" t="s">
        <v>322</v>
      </c>
      <c r="B81" t="s">
        <v>11</v>
      </c>
      <c r="C81" t="s">
        <v>322</v>
      </c>
      <c r="D81" t="s">
        <v>323</v>
      </c>
      <c r="F81" t="s">
        <v>100</v>
      </c>
      <c r="G81" t="s">
        <v>53</v>
      </c>
      <c r="H81" s="1">
        <v>1.38131273963251E-5</v>
      </c>
      <c r="I81">
        <v>3.76013768165376E-4</v>
      </c>
      <c r="J81">
        <v>2.4383545769622101E-4</v>
      </c>
      <c r="K81" t="s">
        <v>324</v>
      </c>
      <c r="L81">
        <v>9</v>
      </c>
    </row>
    <row r="82" spans="1:12">
      <c r="A82" t="s">
        <v>325</v>
      </c>
      <c r="B82" t="s">
        <v>11</v>
      </c>
      <c r="C82" t="s">
        <v>325</v>
      </c>
      <c r="D82" t="s">
        <v>326</v>
      </c>
      <c r="F82" t="s">
        <v>119</v>
      </c>
      <c r="G82" t="s">
        <v>19</v>
      </c>
      <c r="H82" s="1">
        <v>1.3888333434288801E-5</v>
      </c>
      <c r="I82">
        <v>3.76013768165376E-4</v>
      </c>
      <c r="J82">
        <v>2.4383545769622101E-4</v>
      </c>
      <c r="K82" t="s">
        <v>275</v>
      </c>
      <c r="L82">
        <v>6</v>
      </c>
    </row>
    <row r="83" spans="1:12">
      <c r="A83" t="s">
        <v>327</v>
      </c>
      <c r="B83" t="s">
        <v>11</v>
      </c>
      <c r="C83" t="s">
        <v>327</v>
      </c>
      <c r="D83" t="s">
        <v>328</v>
      </c>
      <c r="F83" t="s">
        <v>100</v>
      </c>
      <c r="G83" t="s">
        <v>329</v>
      </c>
      <c r="H83" s="1">
        <v>1.6093351306035101E-5</v>
      </c>
      <c r="I83">
        <v>4.3039901724554899E-4</v>
      </c>
      <c r="J83">
        <v>2.7910292188001898E-4</v>
      </c>
      <c r="K83" t="s">
        <v>330</v>
      </c>
      <c r="L83">
        <v>9</v>
      </c>
    </row>
    <row r="84" spans="1:12">
      <c r="A84" t="s">
        <v>331</v>
      </c>
      <c r="B84" t="s">
        <v>11</v>
      </c>
      <c r="C84" t="s">
        <v>331</v>
      </c>
      <c r="D84" t="s">
        <v>332</v>
      </c>
      <c r="F84" t="s">
        <v>312</v>
      </c>
      <c r="G84" t="s">
        <v>183</v>
      </c>
      <c r="H84" s="1">
        <v>1.73523757504098E-5</v>
      </c>
      <c r="I84">
        <v>4.58479036393357E-4</v>
      </c>
      <c r="J84">
        <v>2.9731210702350799E-4</v>
      </c>
      <c r="K84" t="s">
        <v>333</v>
      </c>
      <c r="L84">
        <v>3</v>
      </c>
    </row>
    <row r="85" spans="1:12">
      <c r="A85" t="s">
        <v>334</v>
      </c>
      <c r="B85" t="s">
        <v>11</v>
      </c>
      <c r="C85" t="s">
        <v>334</v>
      </c>
      <c r="D85" t="s">
        <v>335</v>
      </c>
      <c r="F85" t="s">
        <v>119</v>
      </c>
      <c r="G85" t="s">
        <v>336</v>
      </c>
      <c r="H85" s="1">
        <v>2.1167444925483201E-5</v>
      </c>
      <c r="I85">
        <v>5.5262150859029303E-4</v>
      </c>
      <c r="J85">
        <v>3.5836112900160098E-4</v>
      </c>
      <c r="K85" t="s">
        <v>337</v>
      </c>
      <c r="L85">
        <v>6</v>
      </c>
    </row>
    <row r="86" spans="1:12">
      <c r="A86" t="s">
        <v>338</v>
      </c>
      <c r="B86" t="s">
        <v>11</v>
      </c>
      <c r="C86" t="s">
        <v>338</v>
      </c>
      <c r="D86" t="s">
        <v>339</v>
      </c>
      <c r="F86" t="s">
        <v>182</v>
      </c>
      <c r="G86" t="s">
        <v>340</v>
      </c>
      <c r="H86" s="1">
        <v>2.4048884708058601E-5</v>
      </c>
      <c r="I86">
        <v>6.1324656005549505E-4</v>
      </c>
      <c r="J86">
        <v>3.9767494786520401E-4</v>
      </c>
      <c r="K86" t="s">
        <v>341</v>
      </c>
      <c r="L86">
        <v>4</v>
      </c>
    </row>
    <row r="87" spans="1:12">
      <c r="A87" t="s">
        <v>342</v>
      </c>
      <c r="B87" t="s">
        <v>11</v>
      </c>
      <c r="C87" t="s">
        <v>342</v>
      </c>
      <c r="D87" t="s">
        <v>343</v>
      </c>
      <c r="F87" t="s">
        <v>182</v>
      </c>
      <c r="G87" t="s">
        <v>340</v>
      </c>
      <c r="H87" s="1">
        <v>2.4048884708058601E-5</v>
      </c>
      <c r="I87">
        <v>6.1324656005549505E-4</v>
      </c>
      <c r="J87">
        <v>3.9767494786520401E-4</v>
      </c>
      <c r="K87" t="s">
        <v>344</v>
      </c>
      <c r="L87">
        <v>4</v>
      </c>
    </row>
    <row r="88" spans="1:12">
      <c r="A88" t="s">
        <v>345</v>
      </c>
      <c r="B88" t="s">
        <v>11</v>
      </c>
      <c r="C88" t="s">
        <v>345</v>
      </c>
      <c r="D88" t="s">
        <v>346</v>
      </c>
      <c r="F88" t="s">
        <v>124</v>
      </c>
      <c r="G88" t="s">
        <v>347</v>
      </c>
      <c r="H88" s="1">
        <v>2.4643891381574399E-5</v>
      </c>
      <c r="I88">
        <v>6.2119602068727196E-4</v>
      </c>
      <c r="J88">
        <v>4.0282997285549902E-4</v>
      </c>
      <c r="K88" t="s">
        <v>348</v>
      </c>
      <c r="L88">
        <v>8</v>
      </c>
    </row>
    <row r="89" spans="1:12">
      <c r="A89" t="s">
        <v>349</v>
      </c>
      <c r="B89" t="s">
        <v>11</v>
      </c>
      <c r="C89" t="s">
        <v>349</v>
      </c>
      <c r="D89" t="s">
        <v>350</v>
      </c>
      <c r="F89" t="s">
        <v>129</v>
      </c>
      <c r="G89" t="s">
        <v>351</v>
      </c>
      <c r="H89" s="1">
        <v>2.77675814049509E-5</v>
      </c>
      <c r="I89">
        <v>6.9198075023928695E-4</v>
      </c>
      <c r="J89">
        <v>4.4873208705847601E-4</v>
      </c>
      <c r="K89" t="s">
        <v>352</v>
      </c>
      <c r="L89">
        <v>5</v>
      </c>
    </row>
    <row r="90" spans="1:12">
      <c r="A90" t="s">
        <v>353</v>
      </c>
      <c r="B90" t="s">
        <v>11</v>
      </c>
      <c r="C90" t="s">
        <v>353</v>
      </c>
      <c r="D90" t="s">
        <v>354</v>
      </c>
      <c r="F90" t="s">
        <v>100</v>
      </c>
      <c r="G90" t="s">
        <v>355</v>
      </c>
      <c r="H90" s="1">
        <v>2.98678447408753E-5</v>
      </c>
      <c r="I90">
        <v>7.33140876867223E-4</v>
      </c>
      <c r="J90">
        <v>4.75423392443717E-4</v>
      </c>
      <c r="K90" t="s">
        <v>102</v>
      </c>
      <c r="L90">
        <v>9</v>
      </c>
    </row>
    <row r="91" spans="1:12">
      <c r="A91" t="s">
        <v>356</v>
      </c>
      <c r="B91" t="s">
        <v>11</v>
      </c>
      <c r="C91" t="s">
        <v>356</v>
      </c>
      <c r="D91" t="s">
        <v>357</v>
      </c>
      <c r="F91" t="s">
        <v>85</v>
      </c>
      <c r="G91" t="s">
        <v>358</v>
      </c>
      <c r="H91" s="1">
        <v>3.00878608837438E-5</v>
      </c>
      <c r="I91">
        <v>7.33140876867223E-4</v>
      </c>
      <c r="J91">
        <v>4.75423392443717E-4</v>
      </c>
      <c r="K91" t="s">
        <v>298</v>
      </c>
      <c r="L91">
        <v>10</v>
      </c>
    </row>
    <row r="92" spans="1:12">
      <c r="A92" t="s">
        <v>359</v>
      </c>
      <c r="B92" t="s">
        <v>11</v>
      </c>
      <c r="C92" t="s">
        <v>359</v>
      </c>
      <c r="D92" t="s">
        <v>360</v>
      </c>
      <c r="F92" t="s">
        <v>114</v>
      </c>
      <c r="G92" t="s">
        <v>361</v>
      </c>
      <c r="H92" s="1">
        <v>3.2635879649848698E-5</v>
      </c>
      <c r="I92">
        <v>7.8648883595734199E-4</v>
      </c>
      <c r="J92">
        <v>5.1001820019601503E-4</v>
      </c>
      <c r="K92" t="s">
        <v>362</v>
      </c>
      <c r="L92">
        <v>7</v>
      </c>
    </row>
    <row r="93" spans="1:12">
      <c r="A93" t="s">
        <v>363</v>
      </c>
      <c r="B93" t="s">
        <v>11</v>
      </c>
      <c r="C93" t="s">
        <v>363</v>
      </c>
      <c r="D93" t="s">
        <v>364</v>
      </c>
      <c r="F93" t="s">
        <v>124</v>
      </c>
      <c r="G93" t="s">
        <v>365</v>
      </c>
      <c r="H93" s="1">
        <v>3.3472924189976901E-5</v>
      </c>
      <c r="I93">
        <v>7.9789263857195001E-4</v>
      </c>
      <c r="J93">
        <v>5.1741327895490604E-4</v>
      </c>
      <c r="K93" t="s">
        <v>348</v>
      </c>
      <c r="L93">
        <v>8</v>
      </c>
    </row>
    <row r="94" spans="1:12">
      <c r="A94" t="s">
        <v>366</v>
      </c>
      <c r="B94" t="s">
        <v>11</v>
      </c>
      <c r="C94" t="s">
        <v>366</v>
      </c>
      <c r="D94" t="s">
        <v>367</v>
      </c>
      <c r="F94" t="s">
        <v>182</v>
      </c>
      <c r="G94" t="s">
        <v>368</v>
      </c>
      <c r="H94" s="1">
        <v>3.7744396651211601E-5</v>
      </c>
      <c r="I94">
        <v>8.90037224259216E-4</v>
      </c>
      <c r="J94">
        <v>5.7716672185384097E-4</v>
      </c>
      <c r="K94" t="s">
        <v>369</v>
      </c>
      <c r="L94">
        <v>4</v>
      </c>
    </row>
    <row r="95" spans="1:12">
      <c r="A95" t="s">
        <v>370</v>
      </c>
      <c r="B95" t="s">
        <v>11</v>
      </c>
      <c r="C95" t="s">
        <v>370</v>
      </c>
      <c r="D95" t="s">
        <v>371</v>
      </c>
      <c r="F95" t="s">
        <v>114</v>
      </c>
      <c r="G95" t="s">
        <v>372</v>
      </c>
      <c r="H95" s="1">
        <v>3.86200362497636E-5</v>
      </c>
      <c r="I95">
        <v>9.0099722867799696E-4</v>
      </c>
      <c r="J95">
        <v>5.84274008661038E-4</v>
      </c>
      <c r="K95" t="s">
        <v>192</v>
      </c>
      <c r="L95">
        <v>7</v>
      </c>
    </row>
    <row r="96" spans="1:12">
      <c r="A96" t="s">
        <v>373</v>
      </c>
      <c r="B96" t="s">
        <v>11</v>
      </c>
      <c r="C96" t="s">
        <v>373</v>
      </c>
      <c r="D96" t="s">
        <v>374</v>
      </c>
      <c r="F96" t="s">
        <v>312</v>
      </c>
      <c r="G96" t="s">
        <v>375</v>
      </c>
      <c r="H96" s="1">
        <v>4.0782238077457498E-5</v>
      </c>
      <c r="I96">
        <v>9.1712414961613498E-4</v>
      </c>
      <c r="J96">
        <v>5.9473191068778498E-4</v>
      </c>
      <c r="K96" t="s">
        <v>333</v>
      </c>
      <c r="L96">
        <v>3</v>
      </c>
    </row>
    <row r="97" spans="1:12">
      <c r="A97" t="s">
        <v>376</v>
      </c>
      <c r="B97" t="s">
        <v>11</v>
      </c>
      <c r="C97" t="s">
        <v>376</v>
      </c>
      <c r="D97" t="s">
        <v>377</v>
      </c>
      <c r="F97" t="s">
        <v>312</v>
      </c>
      <c r="G97" t="s">
        <v>375</v>
      </c>
      <c r="H97" s="1">
        <v>4.0782238077457498E-5</v>
      </c>
      <c r="I97">
        <v>9.1712414961613498E-4</v>
      </c>
      <c r="J97">
        <v>5.9473191068778498E-4</v>
      </c>
      <c r="K97" t="s">
        <v>314</v>
      </c>
      <c r="L97">
        <v>3</v>
      </c>
    </row>
    <row r="98" spans="1:12">
      <c r="A98" t="s">
        <v>378</v>
      </c>
      <c r="B98" t="s">
        <v>11</v>
      </c>
      <c r="C98" t="s">
        <v>378</v>
      </c>
      <c r="D98" t="s">
        <v>379</v>
      </c>
      <c r="F98" t="s">
        <v>312</v>
      </c>
      <c r="G98" t="s">
        <v>375</v>
      </c>
      <c r="H98" s="1">
        <v>4.0782238077457498E-5</v>
      </c>
      <c r="I98">
        <v>9.1712414961613498E-4</v>
      </c>
      <c r="J98">
        <v>5.9473191068778498E-4</v>
      </c>
      <c r="K98" t="s">
        <v>380</v>
      </c>
      <c r="L98">
        <v>3</v>
      </c>
    </row>
    <row r="99" spans="1:12">
      <c r="A99" t="s">
        <v>381</v>
      </c>
      <c r="B99" t="s">
        <v>11</v>
      </c>
      <c r="C99" t="s">
        <v>381</v>
      </c>
      <c r="D99" t="s">
        <v>382</v>
      </c>
      <c r="F99" t="s">
        <v>182</v>
      </c>
      <c r="G99" t="s">
        <v>383</v>
      </c>
      <c r="H99" s="1">
        <v>4.1050672912925802E-5</v>
      </c>
      <c r="I99">
        <v>9.1712414961613498E-4</v>
      </c>
      <c r="J99">
        <v>5.9473191068778498E-4</v>
      </c>
      <c r="K99" t="s">
        <v>384</v>
      </c>
      <c r="L99">
        <v>4</v>
      </c>
    </row>
    <row r="100" spans="1:12">
      <c r="A100" t="s">
        <v>385</v>
      </c>
      <c r="B100" t="s">
        <v>11</v>
      </c>
      <c r="C100" t="s">
        <v>385</v>
      </c>
      <c r="D100" t="s">
        <v>386</v>
      </c>
      <c r="F100" t="s">
        <v>100</v>
      </c>
      <c r="G100" t="s">
        <v>158</v>
      </c>
      <c r="H100" s="1">
        <v>4.1402321391699598E-5</v>
      </c>
      <c r="I100">
        <v>9.1712414961613498E-4</v>
      </c>
      <c r="J100">
        <v>5.9473191068778498E-4</v>
      </c>
      <c r="K100" t="s">
        <v>387</v>
      </c>
      <c r="L100">
        <v>9</v>
      </c>
    </row>
    <row r="101" spans="1:12">
      <c r="A101" t="s">
        <v>388</v>
      </c>
      <c r="B101" t="s">
        <v>11</v>
      </c>
      <c r="C101" t="s">
        <v>388</v>
      </c>
      <c r="D101" t="s">
        <v>389</v>
      </c>
      <c r="F101" t="s">
        <v>129</v>
      </c>
      <c r="G101" t="s">
        <v>390</v>
      </c>
      <c r="H101" s="1">
        <v>4.4413106603641499E-5</v>
      </c>
      <c r="I101">
        <v>9.7397942781785897E-4</v>
      </c>
      <c r="J101">
        <v>6.3160112654231295E-4</v>
      </c>
      <c r="K101" t="s">
        <v>391</v>
      </c>
      <c r="L101">
        <v>5</v>
      </c>
    </row>
    <row r="102" spans="1:12">
      <c r="A102" t="s">
        <v>392</v>
      </c>
      <c r="B102" t="s">
        <v>11</v>
      </c>
      <c r="C102" t="s">
        <v>392</v>
      </c>
      <c r="D102" t="s">
        <v>393</v>
      </c>
      <c r="F102" t="s">
        <v>114</v>
      </c>
      <c r="G102" t="s">
        <v>394</v>
      </c>
      <c r="H102" s="1">
        <v>4.6713116924101597E-5</v>
      </c>
      <c r="I102">
        <v>1.01427589519361E-3</v>
      </c>
      <c r="J102">
        <v>6.5773237065618799E-4</v>
      </c>
      <c r="K102" t="s">
        <v>395</v>
      </c>
      <c r="L102">
        <v>7</v>
      </c>
    </row>
    <row r="103" spans="1:12">
      <c r="A103" t="s">
        <v>396</v>
      </c>
      <c r="B103" t="s">
        <v>11</v>
      </c>
      <c r="C103" t="s">
        <v>396</v>
      </c>
      <c r="D103" t="s">
        <v>397</v>
      </c>
      <c r="F103" t="s">
        <v>312</v>
      </c>
      <c r="G103" t="s">
        <v>232</v>
      </c>
      <c r="H103" s="1">
        <v>4.8797221436264399E-5</v>
      </c>
      <c r="I103">
        <v>1.0491402608796799E-3</v>
      </c>
      <c r="J103">
        <v>6.8034103364698895E-4</v>
      </c>
      <c r="K103" t="s">
        <v>314</v>
      </c>
      <c r="L103">
        <v>3</v>
      </c>
    </row>
    <row r="104" spans="1:12">
      <c r="A104" t="s">
        <v>398</v>
      </c>
      <c r="B104" t="s">
        <v>11</v>
      </c>
      <c r="C104" t="s">
        <v>398</v>
      </c>
      <c r="D104" t="s">
        <v>399</v>
      </c>
      <c r="F104" t="s">
        <v>182</v>
      </c>
      <c r="G104" t="s">
        <v>400</v>
      </c>
      <c r="H104" s="1">
        <v>5.2242834978341798E-5</v>
      </c>
      <c r="I104">
        <v>1.11231589424761E-3</v>
      </c>
      <c r="J104">
        <v>7.2130884063096397E-4</v>
      </c>
      <c r="K104" t="s">
        <v>401</v>
      </c>
      <c r="L104">
        <v>4</v>
      </c>
    </row>
    <row r="105" spans="1:12">
      <c r="A105" t="s">
        <v>402</v>
      </c>
      <c r="B105" t="s">
        <v>11</v>
      </c>
      <c r="C105" t="s">
        <v>402</v>
      </c>
      <c r="D105" t="s">
        <v>403</v>
      </c>
      <c r="F105" t="s">
        <v>129</v>
      </c>
      <c r="G105" t="s">
        <v>404</v>
      </c>
      <c r="H105" s="1">
        <v>5.3909489735141202E-5</v>
      </c>
      <c r="I105">
        <v>1.1367645287419701E-3</v>
      </c>
      <c r="J105">
        <v>7.37163164293277E-4</v>
      </c>
      <c r="K105" t="s">
        <v>405</v>
      </c>
      <c r="L105">
        <v>5</v>
      </c>
    </row>
    <row r="106" spans="1:12">
      <c r="A106" t="s">
        <v>406</v>
      </c>
      <c r="B106" t="s">
        <v>11</v>
      </c>
      <c r="C106" t="s">
        <v>406</v>
      </c>
      <c r="D106" t="s">
        <v>407</v>
      </c>
      <c r="F106" t="s">
        <v>129</v>
      </c>
      <c r="G106" t="s">
        <v>408</v>
      </c>
      <c r="H106" s="1">
        <v>5.6511664708163303E-5</v>
      </c>
      <c r="I106">
        <v>1.18028648290478E-3</v>
      </c>
      <c r="J106">
        <v>7.6538605534565097E-4</v>
      </c>
      <c r="K106" t="s">
        <v>409</v>
      </c>
      <c r="L106">
        <v>5</v>
      </c>
    </row>
    <row r="107" spans="1:12">
      <c r="A107" t="s">
        <v>410</v>
      </c>
      <c r="B107" t="s">
        <v>11</v>
      </c>
      <c r="C107" t="s">
        <v>410</v>
      </c>
      <c r="D107" t="s">
        <v>411</v>
      </c>
      <c r="F107" t="s">
        <v>124</v>
      </c>
      <c r="G107" t="s">
        <v>412</v>
      </c>
      <c r="H107" s="1">
        <v>6.1714535904584895E-5</v>
      </c>
      <c r="I107">
        <v>1.2767922381014601E-3</v>
      </c>
      <c r="J107">
        <v>8.2796760682317904E-4</v>
      </c>
      <c r="K107" t="s">
        <v>348</v>
      </c>
      <c r="L107">
        <v>8</v>
      </c>
    </row>
    <row r="108" spans="1:12">
      <c r="A108" t="s">
        <v>413</v>
      </c>
      <c r="B108" t="s">
        <v>11</v>
      </c>
      <c r="C108" t="s">
        <v>413</v>
      </c>
      <c r="D108" t="s">
        <v>414</v>
      </c>
      <c r="F108" t="s">
        <v>129</v>
      </c>
      <c r="G108" t="s">
        <v>415</v>
      </c>
      <c r="H108" s="1">
        <v>6.4903847708358206E-5</v>
      </c>
      <c r="I108">
        <v>1.33022558901336E-3</v>
      </c>
      <c r="J108">
        <v>8.6261778902107101E-4</v>
      </c>
      <c r="K108" t="s">
        <v>416</v>
      </c>
      <c r="L108">
        <v>5</v>
      </c>
    </row>
    <row r="109" spans="1:12">
      <c r="A109" t="s">
        <v>417</v>
      </c>
      <c r="B109" t="s">
        <v>11</v>
      </c>
      <c r="C109" t="s">
        <v>417</v>
      </c>
      <c r="D109" t="s">
        <v>418</v>
      </c>
      <c r="F109" t="s">
        <v>124</v>
      </c>
      <c r="G109" t="s">
        <v>419</v>
      </c>
      <c r="H109" s="1">
        <v>6.7025774130789002E-5</v>
      </c>
      <c r="I109">
        <v>1.35126926344003E-3</v>
      </c>
      <c r="J109">
        <v>8.7626408184293496E-4</v>
      </c>
      <c r="K109" t="s">
        <v>420</v>
      </c>
      <c r="L109">
        <v>8</v>
      </c>
    </row>
    <row r="110" spans="1:12">
      <c r="A110" t="s">
        <v>421</v>
      </c>
      <c r="B110" t="s">
        <v>11</v>
      </c>
      <c r="C110" t="s">
        <v>421</v>
      </c>
      <c r="D110" t="s">
        <v>422</v>
      </c>
      <c r="F110" t="s">
        <v>312</v>
      </c>
      <c r="G110" t="s">
        <v>423</v>
      </c>
      <c r="H110" s="1">
        <v>6.7779124021159705E-5</v>
      </c>
      <c r="I110">
        <v>1.35126926344003E-3</v>
      </c>
      <c r="J110">
        <v>8.7626408184293496E-4</v>
      </c>
      <c r="K110" t="s">
        <v>314</v>
      </c>
      <c r="L110">
        <v>3</v>
      </c>
    </row>
    <row r="111" spans="1:12">
      <c r="A111" t="s">
        <v>424</v>
      </c>
      <c r="B111" t="s">
        <v>11</v>
      </c>
      <c r="C111" t="s">
        <v>424</v>
      </c>
      <c r="D111" t="s">
        <v>425</v>
      </c>
      <c r="F111" t="s">
        <v>312</v>
      </c>
      <c r="G111" t="s">
        <v>423</v>
      </c>
      <c r="H111" s="1">
        <v>6.7779124021159705E-5</v>
      </c>
      <c r="I111">
        <v>1.35126926344003E-3</v>
      </c>
      <c r="J111">
        <v>8.7626408184293496E-4</v>
      </c>
      <c r="K111" t="s">
        <v>380</v>
      </c>
      <c r="L111">
        <v>3</v>
      </c>
    </row>
    <row r="112" spans="1:12">
      <c r="A112" t="s">
        <v>426</v>
      </c>
      <c r="B112" t="s">
        <v>11</v>
      </c>
      <c r="C112" t="s">
        <v>426</v>
      </c>
      <c r="D112" t="s">
        <v>427</v>
      </c>
      <c r="F112" t="s">
        <v>119</v>
      </c>
      <c r="G112" t="s">
        <v>428</v>
      </c>
      <c r="H112" s="1">
        <v>7.3874908172595304E-5</v>
      </c>
      <c r="I112">
        <v>1.45952859119371E-3</v>
      </c>
      <c r="J112">
        <v>9.4646752907706297E-4</v>
      </c>
      <c r="K112" t="s">
        <v>429</v>
      </c>
      <c r="L112">
        <v>6</v>
      </c>
    </row>
    <row r="113" spans="1:12">
      <c r="A113" t="s">
        <v>430</v>
      </c>
      <c r="B113" t="s">
        <v>11</v>
      </c>
      <c r="C113" t="s">
        <v>430</v>
      </c>
      <c r="D113" t="s">
        <v>431</v>
      </c>
      <c r="F113" t="s">
        <v>182</v>
      </c>
      <c r="G113" t="s">
        <v>432</v>
      </c>
      <c r="H113" s="1">
        <v>7.5625674895463905E-5</v>
      </c>
      <c r="I113">
        <v>1.4807777236227899E-3</v>
      </c>
      <c r="J113">
        <v>9.6024705623845596E-4</v>
      </c>
      <c r="K113" t="s">
        <v>433</v>
      </c>
      <c r="L113">
        <v>4</v>
      </c>
    </row>
    <row r="114" spans="1:12">
      <c r="A114" t="s">
        <v>434</v>
      </c>
      <c r="B114" t="s">
        <v>11</v>
      </c>
      <c r="C114" t="s">
        <v>434</v>
      </c>
      <c r="D114" t="s">
        <v>435</v>
      </c>
      <c r="F114" t="s">
        <v>129</v>
      </c>
      <c r="G114" t="s">
        <v>436</v>
      </c>
      <c r="H114" s="1">
        <v>7.7552813381192605E-5</v>
      </c>
      <c r="I114">
        <v>1.4918712258329401E-3</v>
      </c>
      <c r="J114">
        <v>9.67440913000842E-4</v>
      </c>
      <c r="K114" t="s">
        <v>437</v>
      </c>
      <c r="L114">
        <v>5</v>
      </c>
    </row>
    <row r="115" spans="1:12">
      <c r="A115" t="s">
        <v>438</v>
      </c>
      <c r="B115" t="s">
        <v>11</v>
      </c>
      <c r="C115" t="s">
        <v>438</v>
      </c>
      <c r="D115" t="s">
        <v>439</v>
      </c>
      <c r="F115" t="s">
        <v>129</v>
      </c>
      <c r="G115" t="s">
        <v>436</v>
      </c>
      <c r="H115" s="1">
        <v>7.7552813381192605E-5</v>
      </c>
      <c r="I115">
        <v>1.4918712258329401E-3</v>
      </c>
      <c r="J115">
        <v>9.67440913000842E-4</v>
      </c>
      <c r="K115" t="s">
        <v>416</v>
      </c>
      <c r="L115">
        <v>5</v>
      </c>
    </row>
    <row r="116" spans="1:12">
      <c r="A116" t="s">
        <v>440</v>
      </c>
      <c r="B116" t="s">
        <v>11</v>
      </c>
      <c r="C116" t="s">
        <v>440</v>
      </c>
      <c r="D116" t="s">
        <v>441</v>
      </c>
      <c r="F116" t="s">
        <v>124</v>
      </c>
      <c r="G116" t="s">
        <v>442</v>
      </c>
      <c r="H116" s="1">
        <v>7.8794832307542404E-5</v>
      </c>
      <c r="I116">
        <v>1.50258319348209E-3</v>
      </c>
      <c r="J116">
        <v>9.7438735421043296E-4</v>
      </c>
      <c r="K116" t="s">
        <v>443</v>
      </c>
      <c r="L116">
        <v>8</v>
      </c>
    </row>
    <row r="117" spans="1:12">
      <c r="A117" t="s">
        <v>444</v>
      </c>
      <c r="B117" t="s">
        <v>11</v>
      </c>
      <c r="C117" t="s">
        <v>444</v>
      </c>
      <c r="D117" t="s">
        <v>445</v>
      </c>
      <c r="F117" t="s">
        <v>119</v>
      </c>
      <c r="G117" t="s">
        <v>446</v>
      </c>
      <c r="H117" s="1">
        <v>8.3701852648080996E-5</v>
      </c>
      <c r="I117">
        <v>1.5823979556658799E-3</v>
      </c>
      <c r="J117">
        <v>1.0261452171284699E-3</v>
      </c>
      <c r="K117" t="s">
        <v>429</v>
      </c>
      <c r="L117">
        <v>6</v>
      </c>
    </row>
    <row r="118" spans="1:12">
      <c r="A118" t="s">
        <v>447</v>
      </c>
      <c r="B118" t="s">
        <v>11</v>
      </c>
      <c r="C118" t="s">
        <v>447</v>
      </c>
      <c r="D118" t="s">
        <v>448</v>
      </c>
      <c r="F118" t="s">
        <v>182</v>
      </c>
      <c r="G118" t="s">
        <v>449</v>
      </c>
      <c r="H118" s="1">
        <v>8.6828676314037098E-5</v>
      </c>
      <c r="I118">
        <v>1.6274810868092599E-3</v>
      </c>
      <c r="J118">
        <v>1.0553804921301299E-3</v>
      </c>
      <c r="K118" t="s">
        <v>401</v>
      </c>
      <c r="L118">
        <v>4</v>
      </c>
    </row>
    <row r="119" spans="1:12">
      <c r="A119" t="s">
        <v>450</v>
      </c>
      <c r="B119" t="s">
        <v>11</v>
      </c>
      <c r="C119" t="s">
        <v>450</v>
      </c>
      <c r="D119" t="s">
        <v>451</v>
      </c>
      <c r="F119" t="s">
        <v>124</v>
      </c>
      <c r="G119" t="s">
        <v>452</v>
      </c>
      <c r="H119" s="1">
        <v>8.8707888002550699E-5</v>
      </c>
      <c r="I119">
        <v>1.6486135456745201E-3</v>
      </c>
      <c r="J119">
        <v>1.0690843594241401E-3</v>
      </c>
      <c r="K119" t="s">
        <v>443</v>
      </c>
      <c r="L119">
        <v>8</v>
      </c>
    </row>
    <row r="120" spans="1:12">
      <c r="A120" t="s">
        <v>453</v>
      </c>
      <c r="B120" t="s">
        <v>11</v>
      </c>
      <c r="C120" t="s">
        <v>453</v>
      </c>
      <c r="D120" t="s">
        <v>454</v>
      </c>
      <c r="F120" t="s">
        <v>119</v>
      </c>
      <c r="G120" t="s">
        <v>455</v>
      </c>
      <c r="H120">
        <v>1.0647675683287599E-4</v>
      </c>
      <c r="I120">
        <v>1.9458627311208E-3</v>
      </c>
      <c r="J120">
        <v>1.2618429691334701E-3</v>
      </c>
      <c r="K120" t="s">
        <v>456</v>
      </c>
      <c r="L120">
        <v>6</v>
      </c>
    </row>
    <row r="121" spans="1:12">
      <c r="A121" t="s">
        <v>457</v>
      </c>
      <c r="B121" t="s">
        <v>11</v>
      </c>
      <c r="C121" t="s">
        <v>457</v>
      </c>
      <c r="D121" t="s">
        <v>458</v>
      </c>
      <c r="F121" t="s">
        <v>119</v>
      </c>
      <c r="G121" t="s">
        <v>455</v>
      </c>
      <c r="H121">
        <v>1.0647675683287599E-4</v>
      </c>
      <c r="I121">
        <v>1.9458627311208E-3</v>
      </c>
      <c r="J121">
        <v>1.2618429691334701E-3</v>
      </c>
      <c r="K121" t="s">
        <v>456</v>
      </c>
      <c r="L121">
        <v>6</v>
      </c>
    </row>
    <row r="122" spans="1:12">
      <c r="A122" t="s">
        <v>459</v>
      </c>
      <c r="B122" t="s">
        <v>11</v>
      </c>
      <c r="C122" t="s">
        <v>459</v>
      </c>
      <c r="D122" t="s">
        <v>460</v>
      </c>
      <c r="F122" t="s">
        <v>182</v>
      </c>
      <c r="G122" t="s">
        <v>461</v>
      </c>
      <c r="H122">
        <v>1.12786525241569E-4</v>
      </c>
      <c r="I122">
        <v>2.0299408344870398E-3</v>
      </c>
      <c r="J122">
        <v>1.31636550142414E-3</v>
      </c>
      <c r="K122" t="s">
        <v>462</v>
      </c>
      <c r="L122">
        <v>4</v>
      </c>
    </row>
    <row r="123" spans="1:12">
      <c r="A123" t="s">
        <v>463</v>
      </c>
      <c r="B123" t="s">
        <v>11</v>
      </c>
      <c r="C123" t="s">
        <v>463</v>
      </c>
      <c r="D123" t="s">
        <v>464</v>
      </c>
      <c r="F123" t="s">
        <v>129</v>
      </c>
      <c r="G123" t="s">
        <v>465</v>
      </c>
      <c r="H123">
        <v>1.1292876507406201E-4</v>
      </c>
      <c r="I123">
        <v>2.0299408344870398E-3</v>
      </c>
      <c r="J123">
        <v>1.31636550142414E-3</v>
      </c>
      <c r="K123" t="s">
        <v>294</v>
      </c>
      <c r="L123">
        <v>5</v>
      </c>
    </row>
    <row r="124" spans="1:12">
      <c r="A124" t="s">
        <v>466</v>
      </c>
      <c r="B124" t="s">
        <v>11</v>
      </c>
      <c r="C124" t="s">
        <v>466</v>
      </c>
      <c r="D124" t="s">
        <v>467</v>
      </c>
      <c r="F124" t="s">
        <v>312</v>
      </c>
      <c r="G124" t="s">
        <v>468</v>
      </c>
      <c r="H124">
        <v>1.18953239253537E-4</v>
      </c>
      <c r="I124">
        <v>2.1037455942178001E-3</v>
      </c>
      <c r="J124">
        <v>1.36422602913012E-3</v>
      </c>
      <c r="K124" t="s">
        <v>469</v>
      </c>
      <c r="L124">
        <v>3</v>
      </c>
    </row>
    <row r="125" spans="1:12">
      <c r="A125" t="s">
        <v>470</v>
      </c>
      <c r="B125" t="s">
        <v>11</v>
      </c>
      <c r="C125" t="s">
        <v>470</v>
      </c>
      <c r="D125" t="s">
        <v>471</v>
      </c>
      <c r="F125" t="s">
        <v>312</v>
      </c>
      <c r="G125" t="s">
        <v>468</v>
      </c>
      <c r="H125">
        <v>1.18953239253537E-4</v>
      </c>
      <c r="I125">
        <v>2.1037455942178001E-3</v>
      </c>
      <c r="J125">
        <v>1.36422602913012E-3</v>
      </c>
      <c r="K125" t="s">
        <v>472</v>
      </c>
      <c r="L125">
        <v>3</v>
      </c>
    </row>
    <row r="126" spans="1:12">
      <c r="A126" t="s">
        <v>473</v>
      </c>
      <c r="B126" t="s">
        <v>11</v>
      </c>
      <c r="C126" t="s">
        <v>473</v>
      </c>
      <c r="D126" t="s">
        <v>474</v>
      </c>
      <c r="F126" t="s">
        <v>312</v>
      </c>
      <c r="G126" t="s">
        <v>475</v>
      </c>
      <c r="H126">
        <v>1.3478381793347399E-4</v>
      </c>
      <c r="I126">
        <v>2.3646473018248699E-3</v>
      </c>
      <c r="J126">
        <v>1.53341421497367E-3</v>
      </c>
      <c r="K126" t="s">
        <v>476</v>
      </c>
      <c r="L126">
        <v>3</v>
      </c>
    </row>
    <row r="127" spans="1:12">
      <c r="A127" t="s">
        <v>477</v>
      </c>
      <c r="B127" t="s">
        <v>11</v>
      </c>
      <c r="C127" t="s">
        <v>477</v>
      </c>
      <c r="D127" t="s">
        <v>478</v>
      </c>
      <c r="F127" t="s">
        <v>129</v>
      </c>
      <c r="G127" t="s">
        <v>479</v>
      </c>
      <c r="H127">
        <v>1.3730411578936899E-4</v>
      </c>
      <c r="I127">
        <v>2.3897454438578298E-3</v>
      </c>
      <c r="J127">
        <v>1.5496897279151001E-3</v>
      </c>
      <c r="K127" t="s">
        <v>480</v>
      </c>
      <c r="L127">
        <v>5</v>
      </c>
    </row>
    <row r="128" spans="1:12">
      <c r="A128" t="s">
        <v>481</v>
      </c>
      <c r="B128" t="s">
        <v>11</v>
      </c>
      <c r="C128" t="s">
        <v>481</v>
      </c>
      <c r="D128" t="s">
        <v>482</v>
      </c>
      <c r="F128" t="s">
        <v>129</v>
      </c>
      <c r="G128" t="s">
        <v>317</v>
      </c>
      <c r="H128">
        <v>1.4262783795443201E-4</v>
      </c>
      <c r="I128">
        <v>2.4628570758588098E-3</v>
      </c>
      <c r="J128">
        <v>1.5971007797466799E-3</v>
      </c>
      <c r="K128" t="s">
        <v>416</v>
      </c>
      <c r="L128">
        <v>5</v>
      </c>
    </row>
    <row r="129" spans="1:12">
      <c r="A129" t="s">
        <v>483</v>
      </c>
      <c r="B129" t="s">
        <v>11</v>
      </c>
      <c r="C129" t="s">
        <v>483</v>
      </c>
      <c r="D129" t="s">
        <v>484</v>
      </c>
      <c r="F129" t="s">
        <v>312</v>
      </c>
      <c r="G129" t="s">
        <v>485</v>
      </c>
      <c r="H129">
        <v>1.5192442973811801E-4</v>
      </c>
      <c r="I129">
        <v>2.5947744821860899E-3</v>
      </c>
      <c r="J129">
        <v>1.68264589504087E-3</v>
      </c>
      <c r="K129" t="s">
        <v>486</v>
      </c>
      <c r="L129">
        <v>3</v>
      </c>
    </row>
    <row r="130" spans="1:12">
      <c r="A130" t="s">
        <v>487</v>
      </c>
      <c r="B130" t="s">
        <v>11</v>
      </c>
      <c r="C130" t="s">
        <v>487</v>
      </c>
      <c r="D130" t="s">
        <v>488</v>
      </c>
      <c r="F130" t="s">
        <v>182</v>
      </c>
      <c r="G130" t="s">
        <v>489</v>
      </c>
      <c r="H130">
        <v>1.5263379306977001E-4</v>
      </c>
      <c r="I130">
        <v>2.5947744821860899E-3</v>
      </c>
      <c r="J130">
        <v>1.68264589504087E-3</v>
      </c>
      <c r="K130" t="s">
        <v>433</v>
      </c>
      <c r="L130">
        <v>4</v>
      </c>
    </row>
    <row r="131" spans="1:12">
      <c r="A131" t="s">
        <v>490</v>
      </c>
      <c r="B131" t="s">
        <v>11</v>
      </c>
      <c r="C131" t="s">
        <v>490</v>
      </c>
      <c r="D131" t="s">
        <v>491</v>
      </c>
      <c r="F131" t="s">
        <v>182</v>
      </c>
      <c r="G131" t="s">
        <v>492</v>
      </c>
      <c r="H131">
        <v>1.6168183654159701E-4</v>
      </c>
      <c r="I131">
        <v>2.7066279964558901E-3</v>
      </c>
      <c r="J131">
        <v>1.75518008170106E-3</v>
      </c>
      <c r="K131" t="s">
        <v>493</v>
      </c>
      <c r="L131">
        <v>4</v>
      </c>
    </row>
    <row r="132" spans="1:12">
      <c r="A132" t="s">
        <v>494</v>
      </c>
      <c r="B132" t="s">
        <v>11</v>
      </c>
      <c r="C132" t="s">
        <v>494</v>
      </c>
      <c r="D132" t="s">
        <v>495</v>
      </c>
      <c r="F132" t="s">
        <v>182</v>
      </c>
      <c r="G132" t="s">
        <v>492</v>
      </c>
      <c r="H132">
        <v>1.6168183654159701E-4</v>
      </c>
      <c r="I132">
        <v>2.7066279964558901E-3</v>
      </c>
      <c r="J132">
        <v>1.75518008170106E-3</v>
      </c>
      <c r="K132" t="s">
        <v>493</v>
      </c>
      <c r="L132">
        <v>4</v>
      </c>
    </row>
    <row r="133" spans="1:12">
      <c r="A133" t="s">
        <v>496</v>
      </c>
      <c r="B133" t="s">
        <v>11</v>
      </c>
      <c r="C133" t="s">
        <v>496</v>
      </c>
      <c r="D133" t="s">
        <v>497</v>
      </c>
      <c r="F133" t="s">
        <v>129</v>
      </c>
      <c r="G133" t="s">
        <v>498</v>
      </c>
      <c r="H133">
        <v>1.6552050304755999E-4</v>
      </c>
      <c r="I133">
        <v>2.7498974483583199E-3</v>
      </c>
      <c r="J133">
        <v>1.78323923139755E-3</v>
      </c>
      <c r="K133" t="s">
        <v>499</v>
      </c>
      <c r="L133">
        <v>5</v>
      </c>
    </row>
    <row r="134" spans="1:12">
      <c r="A134" t="s">
        <v>500</v>
      </c>
      <c r="B134" t="s">
        <v>11</v>
      </c>
      <c r="C134" t="s">
        <v>500</v>
      </c>
      <c r="D134" t="s">
        <v>501</v>
      </c>
      <c r="F134" t="s">
        <v>182</v>
      </c>
      <c r="G134" t="s">
        <v>502</v>
      </c>
      <c r="H134">
        <v>1.7111129797551299E-4</v>
      </c>
      <c r="I134">
        <v>2.8214065899270602E-3</v>
      </c>
      <c r="J134">
        <v>1.82961110854703E-3</v>
      </c>
      <c r="K134" t="s">
        <v>344</v>
      </c>
      <c r="L134">
        <v>4</v>
      </c>
    </row>
    <row r="135" spans="1:12">
      <c r="A135" t="s">
        <v>503</v>
      </c>
      <c r="B135" t="s">
        <v>11</v>
      </c>
      <c r="C135" t="s">
        <v>503</v>
      </c>
      <c r="D135" t="s">
        <v>504</v>
      </c>
      <c r="F135" t="s">
        <v>119</v>
      </c>
      <c r="G135" t="s">
        <v>505</v>
      </c>
      <c r="H135">
        <v>1.7583455029122999E-4</v>
      </c>
      <c r="I135">
        <v>2.87765051334826E-3</v>
      </c>
      <c r="J135">
        <v>1.8660838762250701E-3</v>
      </c>
      <c r="K135" t="s">
        <v>506</v>
      </c>
      <c r="L135">
        <v>6</v>
      </c>
    </row>
    <row r="136" spans="1:12">
      <c r="A136" t="s">
        <v>507</v>
      </c>
      <c r="B136" t="s">
        <v>11</v>
      </c>
      <c r="C136" t="s">
        <v>507</v>
      </c>
      <c r="D136" t="s">
        <v>508</v>
      </c>
      <c r="F136" t="s">
        <v>114</v>
      </c>
      <c r="G136" t="s">
        <v>347</v>
      </c>
      <c r="H136">
        <v>1.8673721269545901E-4</v>
      </c>
      <c r="I136">
        <v>3.0334422773417801E-3</v>
      </c>
      <c r="J136">
        <v>1.9671109111233098E-3</v>
      </c>
      <c r="K136" t="s">
        <v>509</v>
      </c>
      <c r="L136">
        <v>7</v>
      </c>
    </row>
    <row r="137" spans="1:12">
      <c r="A137" t="s">
        <v>510</v>
      </c>
      <c r="B137" t="s">
        <v>11</v>
      </c>
      <c r="C137" t="s">
        <v>510</v>
      </c>
      <c r="D137" t="s">
        <v>511</v>
      </c>
      <c r="F137" t="s">
        <v>312</v>
      </c>
      <c r="G137" t="s">
        <v>512</v>
      </c>
      <c r="H137">
        <v>1.90321321346567E-4</v>
      </c>
      <c r="I137">
        <v>3.0689313067133899E-3</v>
      </c>
      <c r="J137">
        <v>1.9901246527802802E-3</v>
      </c>
      <c r="K137" t="s">
        <v>513</v>
      </c>
      <c r="L137">
        <v>3</v>
      </c>
    </row>
    <row r="138" spans="1:12">
      <c r="A138" t="s">
        <v>514</v>
      </c>
      <c r="B138" t="s">
        <v>11</v>
      </c>
      <c r="C138" t="s">
        <v>514</v>
      </c>
      <c r="D138" t="s">
        <v>515</v>
      </c>
      <c r="F138" t="s">
        <v>182</v>
      </c>
      <c r="G138" t="s">
        <v>516</v>
      </c>
      <c r="H138">
        <v>2.0178356666955601E-4</v>
      </c>
      <c r="I138">
        <v>3.2300099394622999E-3</v>
      </c>
      <c r="J138">
        <v>2.0945800889018E-3</v>
      </c>
      <c r="K138" t="s">
        <v>401</v>
      </c>
      <c r="L138">
        <v>4</v>
      </c>
    </row>
    <row r="139" spans="1:12">
      <c r="A139" t="s">
        <v>517</v>
      </c>
      <c r="B139" t="s">
        <v>11</v>
      </c>
      <c r="C139" t="s">
        <v>517</v>
      </c>
      <c r="D139" t="s">
        <v>518</v>
      </c>
      <c r="F139" t="s">
        <v>129</v>
      </c>
      <c r="G139" t="s">
        <v>519</v>
      </c>
      <c r="H139">
        <v>2.12225488868554E-4</v>
      </c>
      <c r="I139">
        <v>3.3578832635815701E-3</v>
      </c>
      <c r="J139">
        <v>2.1775027187456298E-3</v>
      </c>
      <c r="K139" t="s">
        <v>520</v>
      </c>
      <c r="L139">
        <v>5</v>
      </c>
    </row>
    <row r="140" spans="1:12">
      <c r="A140" t="s">
        <v>521</v>
      </c>
      <c r="B140" t="s">
        <v>11</v>
      </c>
      <c r="C140" t="s">
        <v>521</v>
      </c>
      <c r="D140" t="s">
        <v>522</v>
      </c>
      <c r="F140" t="s">
        <v>182</v>
      </c>
      <c r="G140" t="s">
        <v>218</v>
      </c>
      <c r="H140">
        <v>2.12834370103894E-4</v>
      </c>
      <c r="I140">
        <v>3.3578832635815701E-3</v>
      </c>
      <c r="J140">
        <v>2.1775027187456298E-3</v>
      </c>
      <c r="K140" t="s">
        <v>344</v>
      </c>
      <c r="L140">
        <v>4</v>
      </c>
    </row>
    <row r="141" spans="1:12">
      <c r="A141" t="s">
        <v>523</v>
      </c>
      <c r="B141" t="s">
        <v>11</v>
      </c>
      <c r="C141" t="s">
        <v>523</v>
      </c>
      <c r="D141" t="s">
        <v>524</v>
      </c>
      <c r="F141" t="s">
        <v>119</v>
      </c>
      <c r="G141" t="s">
        <v>525</v>
      </c>
      <c r="H141">
        <v>2.2749763173027701E-4</v>
      </c>
      <c r="I141">
        <v>3.5635879027464102E-3</v>
      </c>
      <c r="J141">
        <v>2.3108969959970299E-3</v>
      </c>
      <c r="K141" t="s">
        <v>275</v>
      </c>
      <c r="L141">
        <v>6</v>
      </c>
    </row>
    <row r="142" spans="1:12">
      <c r="A142" t="s">
        <v>526</v>
      </c>
      <c r="B142" t="s">
        <v>11</v>
      </c>
      <c r="C142" t="s">
        <v>526</v>
      </c>
      <c r="D142" t="s">
        <v>527</v>
      </c>
      <c r="F142" t="s">
        <v>114</v>
      </c>
      <c r="G142" t="s">
        <v>146</v>
      </c>
      <c r="H142">
        <v>2.3336347356903901E-4</v>
      </c>
      <c r="I142">
        <v>3.5963524503747298E-3</v>
      </c>
      <c r="J142">
        <v>2.3321439798671701E-3</v>
      </c>
      <c r="K142" t="s">
        <v>528</v>
      </c>
      <c r="L142">
        <v>7</v>
      </c>
    </row>
    <row r="143" spans="1:12">
      <c r="A143" t="s">
        <v>529</v>
      </c>
      <c r="B143" t="s">
        <v>11</v>
      </c>
      <c r="C143" t="s">
        <v>529</v>
      </c>
      <c r="D143" t="s">
        <v>530</v>
      </c>
      <c r="F143" t="s">
        <v>312</v>
      </c>
      <c r="G143" t="s">
        <v>531</v>
      </c>
      <c r="H143">
        <v>2.34509074511439E-4</v>
      </c>
      <c r="I143">
        <v>3.5963524503747298E-3</v>
      </c>
      <c r="J143">
        <v>2.3321439798671701E-3</v>
      </c>
      <c r="K143" t="s">
        <v>532</v>
      </c>
      <c r="L143">
        <v>3</v>
      </c>
    </row>
    <row r="144" spans="1:12">
      <c r="A144" t="s">
        <v>533</v>
      </c>
      <c r="B144" t="s">
        <v>11</v>
      </c>
      <c r="C144" t="s">
        <v>533</v>
      </c>
      <c r="D144" t="s">
        <v>534</v>
      </c>
      <c r="F144" t="s">
        <v>312</v>
      </c>
      <c r="G144" t="s">
        <v>531</v>
      </c>
      <c r="H144">
        <v>2.34509074511439E-4</v>
      </c>
      <c r="I144">
        <v>3.5963524503747298E-3</v>
      </c>
      <c r="J144">
        <v>2.3321439798671701E-3</v>
      </c>
      <c r="K144" t="s">
        <v>535</v>
      </c>
      <c r="L144">
        <v>3</v>
      </c>
    </row>
    <row r="145" spans="1:12">
      <c r="A145" t="s">
        <v>536</v>
      </c>
      <c r="B145" t="s">
        <v>11</v>
      </c>
      <c r="C145" t="s">
        <v>536</v>
      </c>
      <c r="D145" t="s">
        <v>537</v>
      </c>
      <c r="F145" t="s">
        <v>119</v>
      </c>
      <c r="G145" t="s">
        <v>538</v>
      </c>
      <c r="H145">
        <v>2.4512539719997501E-4</v>
      </c>
      <c r="I145">
        <v>3.7330555281912801E-3</v>
      </c>
      <c r="J145">
        <v>2.4207924825816198E-3</v>
      </c>
      <c r="K145" t="s">
        <v>275</v>
      </c>
      <c r="L145">
        <v>6</v>
      </c>
    </row>
    <row r="146" spans="1:12">
      <c r="A146" t="s">
        <v>539</v>
      </c>
      <c r="B146" t="s">
        <v>11</v>
      </c>
      <c r="C146" t="s">
        <v>539</v>
      </c>
      <c r="D146" t="s">
        <v>540</v>
      </c>
      <c r="F146" t="s">
        <v>114</v>
      </c>
      <c r="G146" t="s">
        <v>541</v>
      </c>
      <c r="H146">
        <v>2.5745464018185702E-4</v>
      </c>
      <c r="I146">
        <v>3.86710976656721E-3</v>
      </c>
      <c r="J146">
        <v>2.5077232796372698E-3</v>
      </c>
      <c r="K146" t="s">
        <v>192</v>
      </c>
      <c r="L146">
        <v>7</v>
      </c>
    </row>
    <row r="147" spans="1:12">
      <c r="A147" t="s">
        <v>542</v>
      </c>
      <c r="B147" t="s">
        <v>11</v>
      </c>
      <c r="C147" t="s">
        <v>542</v>
      </c>
      <c r="D147" t="s">
        <v>543</v>
      </c>
      <c r="F147" t="s">
        <v>114</v>
      </c>
      <c r="G147" t="s">
        <v>541</v>
      </c>
      <c r="H147">
        <v>2.5745464018185702E-4</v>
      </c>
      <c r="I147">
        <v>3.86710976656721E-3</v>
      </c>
      <c r="J147">
        <v>2.5077232796372698E-3</v>
      </c>
      <c r="K147" t="s">
        <v>192</v>
      </c>
      <c r="L147">
        <v>7</v>
      </c>
    </row>
    <row r="148" spans="1:12">
      <c r="A148" t="s">
        <v>544</v>
      </c>
      <c r="B148" t="s">
        <v>11</v>
      </c>
      <c r="C148" t="s">
        <v>544</v>
      </c>
      <c r="D148" t="s">
        <v>545</v>
      </c>
      <c r="F148" t="s">
        <v>129</v>
      </c>
      <c r="G148" t="s">
        <v>546</v>
      </c>
      <c r="H148">
        <v>2.6836221357623001E-4</v>
      </c>
      <c r="I148">
        <v>3.9764752322477897E-3</v>
      </c>
      <c r="J148">
        <v>2.5786440294558099E-3</v>
      </c>
      <c r="K148" t="s">
        <v>499</v>
      </c>
      <c r="L148">
        <v>5</v>
      </c>
    </row>
    <row r="149" spans="1:12">
      <c r="A149" t="s">
        <v>547</v>
      </c>
      <c r="B149" t="s">
        <v>11</v>
      </c>
      <c r="C149" t="s">
        <v>547</v>
      </c>
      <c r="D149" t="s">
        <v>548</v>
      </c>
      <c r="F149" t="s">
        <v>129</v>
      </c>
      <c r="G149" t="s">
        <v>546</v>
      </c>
      <c r="H149">
        <v>2.6836221357623001E-4</v>
      </c>
      <c r="I149">
        <v>3.9764752322477897E-3</v>
      </c>
      <c r="J149">
        <v>2.5786440294558099E-3</v>
      </c>
      <c r="K149" t="s">
        <v>549</v>
      </c>
      <c r="L149">
        <v>5</v>
      </c>
    </row>
    <row r="150" spans="1:12">
      <c r="A150" t="s">
        <v>550</v>
      </c>
      <c r="B150" t="s">
        <v>11</v>
      </c>
      <c r="C150" t="s">
        <v>550</v>
      </c>
      <c r="D150" t="s">
        <v>551</v>
      </c>
      <c r="F150" t="s">
        <v>182</v>
      </c>
      <c r="G150" t="s">
        <v>552</v>
      </c>
      <c r="H150">
        <v>2.7472805212936101E-4</v>
      </c>
      <c r="I150">
        <v>4.0434806598636901E-3</v>
      </c>
      <c r="J150">
        <v>2.6220953615455102E-3</v>
      </c>
      <c r="K150" t="s">
        <v>553</v>
      </c>
      <c r="L150">
        <v>4</v>
      </c>
    </row>
    <row r="151" spans="1:12">
      <c r="A151" t="s">
        <v>554</v>
      </c>
      <c r="B151" t="s">
        <v>11</v>
      </c>
      <c r="C151" t="s">
        <v>554</v>
      </c>
      <c r="D151" t="s">
        <v>555</v>
      </c>
      <c r="F151" t="s">
        <v>124</v>
      </c>
      <c r="G151" t="s">
        <v>556</v>
      </c>
      <c r="H151">
        <v>2.84397900512603E-4</v>
      </c>
      <c r="I151">
        <v>4.1578973054942599E-3</v>
      </c>
      <c r="J151">
        <v>2.69629167433352E-3</v>
      </c>
      <c r="K151" t="s">
        <v>557</v>
      </c>
      <c r="L151">
        <v>8</v>
      </c>
    </row>
    <row r="152" spans="1:12">
      <c r="A152" t="s">
        <v>558</v>
      </c>
      <c r="B152" t="s">
        <v>11</v>
      </c>
      <c r="C152" t="s">
        <v>558</v>
      </c>
      <c r="D152" t="s">
        <v>559</v>
      </c>
      <c r="F152" t="s">
        <v>129</v>
      </c>
      <c r="G152" t="s">
        <v>560</v>
      </c>
      <c r="H152">
        <v>2.8629972576776599E-4</v>
      </c>
      <c r="I152">
        <v>4.1579821099914597E-3</v>
      </c>
      <c r="J152">
        <v>2.69634666791392E-3</v>
      </c>
      <c r="K152" t="s">
        <v>391</v>
      </c>
      <c r="L152">
        <v>5</v>
      </c>
    </row>
    <row r="153" spans="1:12">
      <c r="A153" t="s">
        <v>561</v>
      </c>
      <c r="B153" t="s">
        <v>11</v>
      </c>
      <c r="C153" t="s">
        <v>561</v>
      </c>
      <c r="D153" t="s">
        <v>562</v>
      </c>
      <c r="F153" t="s">
        <v>312</v>
      </c>
      <c r="G153" t="s">
        <v>563</v>
      </c>
      <c r="H153">
        <v>3.1242412059831497E-4</v>
      </c>
      <c r="I153">
        <v>4.4780790619091803E-3</v>
      </c>
      <c r="J153">
        <v>2.9039214786950401E-3</v>
      </c>
      <c r="K153" t="s">
        <v>564</v>
      </c>
      <c r="L153">
        <v>3</v>
      </c>
    </row>
    <row r="154" spans="1:12">
      <c r="A154" t="s">
        <v>565</v>
      </c>
      <c r="B154" t="s">
        <v>11</v>
      </c>
      <c r="C154" t="s">
        <v>565</v>
      </c>
      <c r="D154" t="s">
        <v>566</v>
      </c>
      <c r="F154" t="s">
        <v>312</v>
      </c>
      <c r="G154" t="s">
        <v>563</v>
      </c>
      <c r="H154">
        <v>3.1242412059831497E-4</v>
      </c>
      <c r="I154">
        <v>4.4780790619091803E-3</v>
      </c>
      <c r="J154">
        <v>2.9039214786950401E-3</v>
      </c>
      <c r="K154" t="s">
        <v>567</v>
      </c>
      <c r="L154">
        <v>3</v>
      </c>
    </row>
    <row r="155" spans="1:12">
      <c r="A155" t="s">
        <v>568</v>
      </c>
      <c r="B155" t="s">
        <v>11</v>
      </c>
      <c r="C155" t="s">
        <v>568</v>
      </c>
      <c r="D155" t="s">
        <v>569</v>
      </c>
      <c r="F155" t="s">
        <v>114</v>
      </c>
      <c r="G155" t="s">
        <v>570</v>
      </c>
      <c r="H155">
        <v>3.1754462314137499E-4</v>
      </c>
      <c r="I155">
        <v>4.5219179126560699E-3</v>
      </c>
      <c r="J155">
        <v>2.9323498692002499E-3</v>
      </c>
      <c r="K155" t="s">
        <v>571</v>
      </c>
      <c r="L155">
        <v>7</v>
      </c>
    </row>
    <row r="156" spans="1:12">
      <c r="A156" t="s">
        <v>572</v>
      </c>
      <c r="B156" t="s">
        <v>11</v>
      </c>
      <c r="C156" t="s">
        <v>572</v>
      </c>
      <c r="D156" t="s">
        <v>573</v>
      </c>
      <c r="F156" t="s">
        <v>119</v>
      </c>
      <c r="G156" t="s">
        <v>372</v>
      </c>
      <c r="H156">
        <v>3.2667937527384002E-4</v>
      </c>
      <c r="I156">
        <v>4.6219862579066498E-3</v>
      </c>
      <c r="J156">
        <v>2.9972416705939401E-3</v>
      </c>
      <c r="K156" t="s">
        <v>321</v>
      </c>
      <c r="L156">
        <v>6</v>
      </c>
    </row>
    <row r="157" spans="1:12">
      <c r="A157" t="s">
        <v>574</v>
      </c>
      <c r="B157" t="s">
        <v>11</v>
      </c>
      <c r="C157" t="s">
        <v>574</v>
      </c>
      <c r="D157" t="s">
        <v>575</v>
      </c>
      <c r="F157" t="s">
        <v>182</v>
      </c>
      <c r="G157" t="s">
        <v>576</v>
      </c>
      <c r="H157">
        <v>3.32806041466287E-4</v>
      </c>
      <c r="I157">
        <v>4.6784849290741502E-3</v>
      </c>
      <c r="J157">
        <v>3.0338796357689199E-3</v>
      </c>
      <c r="K157" t="s">
        <v>341</v>
      </c>
      <c r="L157">
        <v>4</v>
      </c>
    </row>
    <row r="158" spans="1:12">
      <c r="A158" t="s">
        <v>577</v>
      </c>
      <c r="B158" t="s">
        <v>11</v>
      </c>
      <c r="C158" t="s">
        <v>577</v>
      </c>
      <c r="D158" t="s">
        <v>578</v>
      </c>
      <c r="F158" t="s">
        <v>124</v>
      </c>
      <c r="G158" t="s">
        <v>579</v>
      </c>
      <c r="H158">
        <v>3.38040649484981E-4</v>
      </c>
      <c r="I158">
        <v>4.7218034670099499E-3</v>
      </c>
      <c r="J158">
        <v>3.0619706165216799E-3</v>
      </c>
      <c r="K158" t="s">
        <v>580</v>
      </c>
      <c r="L158">
        <v>8</v>
      </c>
    </row>
    <row r="159" spans="1:12">
      <c r="A159" t="s">
        <v>581</v>
      </c>
      <c r="B159" t="s">
        <v>11</v>
      </c>
      <c r="C159" t="s">
        <v>581</v>
      </c>
      <c r="D159" t="s">
        <v>582</v>
      </c>
      <c r="F159" t="s">
        <v>119</v>
      </c>
      <c r="G159" t="s">
        <v>207</v>
      </c>
      <c r="H159">
        <v>3.50059491108505E-4</v>
      </c>
      <c r="I159">
        <v>4.8587371139300704E-3</v>
      </c>
      <c r="J159">
        <v>3.1507686374922699E-3</v>
      </c>
      <c r="K159" t="s">
        <v>583</v>
      </c>
      <c r="L159">
        <v>6</v>
      </c>
    </row>
    <row r="160" spans="1:12">
      <c r="A160" t="s">
        <v>584</v>
      </c>
      <c r="B160" t="s">
        <v>11</v>
      </c>
      <c r="C160" t="s">
        <v>584</v>
      </c>
      <c r="D160" t="s">
        <v>585</v>
      </c>
      <c r="F160" t="s">
        <v>129</v>
      </c>
      <c r="G160" t="s">
        <v>586</v>
      </c>
      <c r="H160">
        <v>3.5633217665026202E-4</v>
      </c>
      <c r="I160">
        <v>4.9087241840938198E-3</v>
      </c>
      <c r="J160">
        <v>3.18318399342921E-3</v>
      </c>
      <c r="K160" t="s">
        <v>587</v>
      </c>
      <c r="L160">
        <v>5</v>
      </c>
    </row>
    <row r="161" spans="1:12">
      <c r="A161" t="s">
        <v>588</v>
      </c>
      <c r="B161" t="s">
        <v>11</v>
      </c>
      <c r="C161" t="s">
        <v>588</v>
      </c>
      <c r="D161" t="s">
        <v>589</v>
      </c>
      <c r="F161" t="s">
        <v>119</v>
      </c>
      <c r="G161" t="s">
        <v>82</v>
      </c>
      <c r="H161">
        <v>3.5813765137027398E-4</v>
      </c>
      <c r="I161">
        <v>4.9087241840938198E-3</v>
      </c>
      <c r="J161">
        <v>3.18318399342921E-3</v>
      </c>
      <c r="K161" t="s">
        <v>590</v>
      </c>
      <c r="L161">
        <v>6</v>
      </c>
    </row>
    <row r="162" spans="1:12">
      <c r="A162" t="s">
        <v>591</v>
      </c>
      <c r="B162" t="s">
        <v>11</v>
      </c>
      <c r="C162" t="s">
        <v>591</v>
      </c>
      <c r="D162" t="s">
        <v>592</v>
      </c>
      <c r="F162" t="s">
        <v>119</v>
      </c>
      <c r="G162" t="s">
        <v>593</v>
      </c>
      <c r="H162">
        <v>3.6636124002349099E-4</v>
      </c>
      <c r="I162">
        <v>4.9902496855373599E-3</v>
      </c>
      <c r="J162">
        <v>3.2360512276674502E-3</v>
      </c>
      <c r="K162" t="s">
        <v>506</v>
      </c>
      <c r="L162">
        <v>6</v>
      </c>
    </row>
    <row r="163" spans="1:12">
      <c r="A163" t="s">
        <v>594</v>
      </c>
      <c r="B163" t="s">
        <v>11</v>
      </c>
      <c r="C163" t="s">
        <v>594</v>
      </c>
      <c r="D163" t="s">
        <v>595</v>
      </c>
      <c r="F163" t="s">
        <v>312</v>
      </c>
      <c r="G163" t="s">
        <v>596</v>
      </c>
      <c r="H163">
        <v>3.7262490644723298E-4</v>
      </c>
      <c r="I163">
        <v>5.04423715949866E-3</v>
      </c>
      <c r="J163">
        <v>3.2710607447057299E-3</v>
      </c>
      <c r="K163" t="s">
        <v>597</v>
      </c>
      <c r="L163">
        <v>3</v>
      </c>
    </row>
    <row r="164" spans="1:12">
      <c r="A164" t="s">
        <v>598</v>
      </c>
      <c r="B164" t="s">
        <v>11</v>
      </c>
      <c r="C164" t="s">
        <v>598</v>
      </c>
      <c r="D164" t="s">
        <v>599</v>
      </c>
      <c r="F164" t="s">
        <v>114</v>
      </c>
      <c r="G164" t="s">
        <v>600</v>
      </c>
      <c r="H164">
        <v>3.8150768488072701E-4</v>
      </c>
      <c r="I164">
        <v>5.1327997113094102E-3</v>
      </c>
      <c r="J164">
        <v>3.3284913288592899E-3</v>
      </c>
      <c r="K164" t="s">
        <v>601</v>
      </c>
      <c r="L164">
        <v>7</v>
      </c>
    </row>
    <row r="165" spans="1:12">
      <c r="A165" t="s">
        <v>602</v>
      </c>
      <c r="B165" t="s">
        <v>11</v>
      </c>
      <c r="C165" t="s">
        <v>602</v>
      </c>
      <c r="D165" t="s">
        <v>603</v>
      </c>
      <c r="F165" t="s">
        <v>119</v>
      </c>
      <c r="G165" t="s">
        <v>604</v>
      </c>
      <c r="H165">
        <v>3.9192302316239498E-4</v>
      </c>
      <c r="I165">
        <v>5.2407755475312899E-3</v>
      </c>
      <c r="J165">
        <v>3.39851093897558E-3</v>
      </c>
      <c r="K165" t="s">
        <v>583</v>
      </c>
      <c r="L165">
        <v>6</v>
      </c>
    </row>
    <row r="166" spans="1:12">
      <c r="A166" t="s">
        <v>605</v>
      </c>
      <c r="B166" t="s">
        <v>11</v>
      </c>
      <c r="C166" t="s">
        <v>605</v>
      </c>
      <c r="D166" t="s">
        <v>606</v>
      </c>
      <c r="F166" t="s">
        <v>182</v>
      </c>
      <c r="G166" t="s">
        <v>607</v>
      </c>
      <c r="H166">
        <v>3.99194351275651E-4</v>
      </c>
      <c r="I166">
        <v>5.3056558324091002E-3</v>
      </c>
      <c r="J166">
        <v>3.4405841695273002E-3</v>
      </c>
      <c r="K166" t="s">
        <v>608</v>
      </c>
      <c r="L166">
        <v>4</v>
      </c>
    </row>
    <row r="167" spans="1:12">
      <c r="A167" t="s">
        <v>609</v>
      </c>
      <c r="B167" t="s">
        <v>11</v>
      </c>
      <c r="C167" t="s">
        <v>609</v>
      </c>
      <c r="D167" t="s">
        <v>610</v>
      </c>
      <c r="F167" t="s">
        <v>129</v>
      </c>
      <c r="G167" t="s">
        <v>260</v>
      </c>
      <c r="H167">
        <v>4.0177117260147102E-4</v>
      </c>
      <c r="I167">
        <v>5.3077360332230497E-3</v>
      </c>
      <c r="J167">
        <v>3.4419331273594601E-3</v>
      </c>
      <c r="K167" t="s">
        <v>611</v>
      </c>
      <c r="L167">
        <v>5</v>
      </c>
    </row>
    <row r="168" spans="1:12">
      <c r="A168" t="s">
        <v>612</v>
      </c>
      <c r="B168" t="s">
        <v>11</v>
      </c>
      <c r="C168" t="s">
        <v>612</v>
      </c>
      <c r="D168" t="s">
        <v>613</v>
      </c>
      <c r="F168" t="s">
        <v>182</v>
      </c>
      <c r="G168" t="s">
        <v>614</v>
      </c>
      <c r="H168">
        <v>4.17166521899689E-4</v>
      </c>
      <c r="I168">
        <v>5.4781208534491997E-3</v>
      </c>
      <c r="J168">
        <v>3.5524233916576099E-3</v>
      </c>
      <c r="K168" t="s">
        <v>615</v>
      </c>
      <c r="L168">
        <v>4</v>
      </c>
    </row>
    <row r="169" spans="1:12">
      <c r="A169" t="s">
        <v>616</v>
      </c>
      <c r="B169" t="s">
        <v>11</v>
      </c>
      <c r="C169" t="s">
        <v>616</v>
      </c>
      <c r="D169" t="s">
        <v>617</v>
      </c>
      <c r="F169" t="s">
        <v>129</v>
      </c>
      <c r="G169" t="s">
        <v>618</v>
      </c>
      <c r="H169">
        <v>4.5145933918657198E-4</v>
      </c>
      <c r="I169">
        <v>5.8582859812790003E-3</v>
      </c>
      <c r="J169">
        <v>3.7989509015326E-3</v>
      </c>
      <c r="K169" t="s">
        <v>131</v>
      </c>
      <c r="L169">
        <v>5</v>
      </c>
    </row>
    <row r="170" spans="1:12">
      <c r="A170" t="s">
        <v>619</v>
      </c>
      <c r="B170" t="s">
        <v>11</v>
      </c>
      <c r="C170" t="s">
        <v>619</v>
      </c>
      <c r="D170" t="s">
        <v>620</v>
      </c>
      <c r="F170" t="s">
        <v>129</v>
      </c>
      <c r="G170" t="s">
        <v>618</v>
      </c>
      <c r="H170">
        <v>4.5145933918657198E-4</v>
      </c>
      <c r="I170">
        <v>5.8582859812790003E-3</v>
      </c>
      <c r="J170">
        <v>3.7989509015326E-3</v>
      </c>
      <c r="K170" t="s">
        <v>587</v>
      </c>
      <c r="L170">
        <v>5</v>
      </c>
    </row>
    <row r="171" spans="1:12">
      <c r="A171" t="s">
        <v>621</v>
      </c>
      <c r="B171" t="s">
        <v>11</v>
      </c>
      <c r="C171" t="s">
        <v>621</v>
      </c>
      <c r="D171" t="s">
        <v>622</v>
      </c>
      <c r="F171" t="s">
        <v>124</v>
      </c>
      <c r="G171" t="s">
        <v>623</v>
      </c>
      <c r="H171">
        <v>4.5669222247014698E-4</v>
      </c>
      <c r="I171">
        <v>5.8913296698649004E-3</v>
      </c>
      <c r="J171">
        <v>3.8203789012827799E-3</v>
      </c>
      <c r="K171" t="s">
        <v>624</v>
      </c>
      <c r="L171">
        <v>8</v>
      </c>
    </row>
    <row r="172" spans="1:12">
      <c r="A172" t="s">
        <v>625</v>
      </c>
      <c r="B172" t="s">
        <v>11</v>
      </c>
      <c r="C172" t="s">
        <v>625</v>
      </c>
      <c r="D172" t="s">
        <v>626</v>
      </c>
      <c r="F172" t="s">
        <v>312</v>
      </c>
      <c r="G172" t="s">
        <v>627</v>
      </c>
      <c r="H172">
        <v>4.7614401879210498E-4</v>
      </c>
      <c r="I172">
        <v>6.04746972624452E-3</v>
      </c>
      <c r="J172">
        <v>3.92163179502069E-3</v>
      </c>
      <c r="K172" t="s">
        <v>628</v>
      </c>
      <c r="L172">
        <v>3</v>
      </c>
    </row>
    <row r="173" spans="1:12">
      <c r="A173" t="s">
        <v>629</v>
      </c>
      <c r="B173" t="s">
        <v>11</v>
      </c>
      <c r="C173" t="s">
        <v>629</v>
      </c>
      <c r="D173" t="s">
        <v>630</v>
      </c>
      <c r="F173" t="s">
        <v>312</v>
      </c>
      <c r="G173" t="s">
        <v>627</v>
      </c>
      <c r="H173">
        <v>4.7614401879210498E-4</v>
      </c>
      <c r="I173">
        <v>6.04746972624452E-3</v>
      </c>
      <c r="J173">
        <v>3.92163179502069E-3</v>
      </c>
      <c r="K173" t="s">
        <v>628</v>
      </c>
      <c r="L173">
        <v>3</v>
      </c>
    </row>
    <row r="174" spans="1:12">
      <c r="A174" t="s">
        <v>631</v>
      </c>
      <c r="B174" t="s">
        <v>11</v>
      </c>
      <c r="C174" t="s">
        <v>631</v>
      </c>
      <c r="D174" t="s">
        <v>632</v>
      </c>
      <c r="F174" t="s">
        <v>119</v>
      </c>
      <c r="G174" t="s">
        <v>633</v>
      </c>
      <c r="H174">
        <v>4.7706897521217602E-4</v>
      </c>
      <c r="I174">
        <v>6.04746972624452E-3</v>
      </c>
      <c r="J174">
        <v>3.92163179502069E-3</v>
      </c>
      <c r="K174" t="s">
        <v>429</v>
      </c>
      <c r="L174">
        <v>6</v>
      </c>
    </row>
    <row r="175" spans="1:12">
      <c r="A175" t="s">
        <v>634</v>
      </c>
      <c r="B175" t="s">
        <v>11</v>
      </c>
      <c r="C175" t="s">
        <v>634</v>
      </c>
      <c r="D175" t="s">
        <v>635</v>
      </c>
      <c r="F175" t="s">
        <v>182</v>
      </c>
      <c r="G175" t="s">
        <v>636</v>
      </c>
      <c r="H175">
        <v>4.9486523625630904E-4</v>
      </c>
      <c r="I175">
        <v>6.2370084086786504E-3</v>
      </c>
      <c r="J175">
        <v>4.0445428565170803E-3</v>
      </c>
      <c r="K175" t="s">
        <v>553</v>
      </c>
      <c r="L175">
        <v>4</v>
      </c>
    </row>
    <row r="176" spans="1:12">
      <c r="A176" t="s">
        <v>637</v>
      </c>
      <c r="B176" t="s">
        <v>11</v>
      </c>
      <c r="C176" t="s">
        <v>637</v>
      </c>
      <c r="D176" t="s">
        <v>638</v>
      </c>
      <c r="F176" t="s">
        <v>312</v>
      </c>
      <c r="G176" t="s">
        <v>639</v>
      </c>
      <c r="H176">
        <v>5.1433650117234495E-4</v>
      </c>
      <c r="I176">
        <v>6.4087496992667704E-3</v>
      </c>
      <c r="J176">
        <v>4.1559127576784498E-3</v>
      </c>
      <c r="K176" t="s">
        <v>469</v>
      </c>
      <c r="L176">
        <v>3</v>
      </c>
    </row>
    <row r="177" spans="1:12">
      <c r="A177" t="s">
        <v>640</v>
      </c>
      <c r="B177" t="s">
        <v>11</v>
      </c>
      <c r="C177" t="s">
        <v>640</v>
      </c>
      <c r="D177" t="s">
        <v>641</v>
      </c>
      <c r="F177" t="s">
        <v>312</v>
      </c>
      <c r="G177" t="s">
        <v>639</v>
      </c>
      <c r="H177">
        <v>5.1433650117234495E-4</v>
      </c>
      <c r="I177">
        <v>6.4087496992667704E-3</v>
      </c>
      <c r="J177">
        <v>4.1559127576784498E-3</v>
      </c>
      <c r="K177" t="s">
        <v>642</v>
      </c>
      <c r="L177">
        <v>3</v>
      </c>
    </row>
    <row r="178" spans="1:12">
      <c r="A178" t="s">
        <v>643</v>
      </c>
      <c r="B178" t="s">
        <v>11</v>
      </c>
      <c r="C178" t="s">
        <v>643</v>
      </c>
      <c r="D178" t="s">
        <v>644</v>
      </c>
      <c r="F178" t="s">
        <v>119</v>
      </c>
      <c r="G178" t="s">
        <v>645</v>
      </c>
      <c r="H178">
        <v>5.3024071349826098E-4</v>
      </c>
      <c r="I178">
        <v>6.5695925689360796E-3</v>
      </c>
      <c r="J178">
        <v>4.2602153073812103E-3</v>
      </c>
      <c r="K178" t="s">
        <v>275</v>
      </c>
      <c r="L178">
        <v>6</v>
      </c>
    </row>
    <row r="179" spans="1:12">
      <c r="A179" t="s">
        <v>646</v>
      </c>
      <c r="B179" t="s">
        <v>11</v>
      </c>
      <c r="C179" t="s">
        <v>646</v>
      </c>
      <c r="D179" t="s">
        <v>647</v>
      </c>
      <c r="F179" t="s">
        <v>129</v>
      </c>
      <c r="G179" t="s">
        <v>648</v>
      </c>
      <c r="H179">
        <v>5.3451293163617099E-4</v>
      </c>
      <c r="I179">
        <v>6.5853194330231703E-3</v>
      </c>
      <c r="J179">
        <v>4.2704137826165998E-3</v>
      </c>
      <c r="K179" t="s">
        <v>549</v>
      </c>
      <c r="L179">
        <v>5</v>
      </c>
    </row>
    <row r="180" spans="1:12">
      <c r="A180" t="s">
        <v>649</v>
      </c>
      <c r="B180" t="s">
        <v>11</v>
      </c>
      <c r="C180" t="s">
        <v>649</v>
      </c>
      <c r="D180" t="s">
        <v>650</v>
      </c>
      <c r="F180" t="s">
        <v>119</v>
      </c>
      <c r="G180" t="s">
        <v>651</v>
      </c>
      <c r="H180">
        <v>5.4140795256915901E-4</v>
      </c>
      <c r="I180">
        <v>6.6330035753305299E-3</v>
      </c>
      <c r="J180">
        <v>4.3013357478443601E-3</v>
      </c>
      <c r="K180" t="s">
        <v>652</v>
      </c>
      <c r="L180">
        <v>6</v>
      </c>
    </row>
    <row r="181" spans="1:12">
      <c r="A181" t="s">
        <v>653</v>
      </c>
      <c r="B181" t="s">
        <v>11</v>
      </c>
      <c r="C181" t="s">
        <v>653</v>
      </c>
      <c r="D181" t="s">
        <v>654</v>
      </c>
      <c r="F181" t="s">
        <v>119</v>
      </c>
      <c r="G181" t="s">
        <v>153</v>
      </c>
      <c r="H181">
        <v>5.5275757796701005E-4</v>
      </c>
      <c r="I181">
        <v>6.7175788874307201E-3</v>
      </c>
      <c r="J181">
        <v>4.3561807074754197E-3</v>
      </c>
      <c r="K181" t="s">
        <v>655</v>
      </c>
      <c r="L181">
        <v>6</v>
      </c>
    </row>
    <row r="182" spans="1:12">
      <c r="A182" t="s">
        <v>656</v>
      </c>
      <c r="B182" t="s">
        <v>11</v>
      </c>
      <c r="C182" t="s">
        <v>656</v>
      </c>
      <c r="D182" t="s">
        <v>657</v>
      </c>
      <c r="F182" t="s">
        <v>312</v>
      </c>
      <c r="G182" t="s">
        <v>658</v>
      </c>
      <c r="H182">
        <v>5.5443765555173797E-4</v>
      </c>
      <c r="I182">
        <v>6.7175788874307201E-3</v>
      </c>
      <c r="J182">
        <v>4.3561807074754197E-3</v>
      </c>
      <c r="K182" t="s">
        <v>659</v>
      </c>
      <c r="L182">
        <v>3</v>
      </c>
    </row>
    <row r="183" spans="1:12">
      <c r="A183" t="s">
        <v>660</v>
      </c>
      <c r="B183" t="s">
        <v>11</v>
      </c>
      <c r="C183" t="s">
        <v>660</v>
      </c>
      <c r="D183" t="s">
        <v>661</v>
      </c>
      <c r="F183" t="s">
        <v>119</v>
      </c>
      <c r="G183" t="s">
        <v>662</v>
      </c>
      <c r="H183">
        <v>5.64291650624786E-4</v>
      </c>
      <c r="I183">
        <v>6.7994043396711898E-3</v>
      </c>
      <c r="J183">
        <v>4.4092424522503499E-3</v>
      </c>
      <c r="K183" t="s">
        <v>663</v>
      </c>
      <c r="L183">
        <v>6</v>
      </c>
    </row>
    <row r="184" spans="1:12">
      <c r="A184" t="s">
        <v>664</v>
      </c>
      <c r="B184" t="s">
        <v>11</v>
      </c>
      <c r="C184" t="s">
        <v>664</v>
      </c>
      <c r="D184" t="s">
        <v>665</v>
      </c>
      <c r="F184" t="s">
        <v>114</v>
      </c>
      <c r="G184" t="s">
        <v>666</v>
      </c>
      <c r="H184">
        <v>5.6817708824757202E-4</v>
      </c>
      <c r="I184">
        <v>6.8088106804750003E-3</v>
      </c>
      <c r="J184">
        <v>4.4153422273366097E-3</v>
      </c>
      <c r="K184" t="s">
        <v>571</v>
      </c>
      <c r="L184">
        <v>7</v>
      </c>
    </row>
    <row r="185" spans="1:12">
      <c r="A185" t="s">
        <v>667</v>
      </c>
      <c r="B185" t="s">
        <v>11</v>
      </c>
      <c r="C185" t="s">
        <v>667</v>
      </c>
      <c r="D185" t="s">
        <v>668</v>
      </c>
      <c r="F185" t="s">
        <v>312</v>
      </c>
      <c r="G185" t="s">
        <v>340</v>
      </c>
      <c r="H185">
        <v>6.4051966424920998E-4</v>
      </c>
      <c r="I185">
        <v>7.5115487898316496E-3</v>
      </c>
      <c r="J185">
        <v>4.8710501908284997E-3</v>
      </c>
      <c r="K185" t="s">
        <v>669</v>
      </c>
      <c r="L185">
        <v>3</v>
      </c>
    </row>
    <row r="186" spans="1:12">
      <c r="A186" t="s">
        <v>670</v>
      </c>
      <c r="B186" t="s">
        <v>11</v>
      </c>
      <c r="C186" t="s">
        <v>670</v>
      </c>
      <c r="D186" t="s">
        <v>671</v>
      </c>
      <c r="F186" t="s">
        <v>312</v>
      </c>
      <c r="G186" t="s">
        <v>340</v>
      </c>
      <c r="H186">
        <v>6.4051966424920998E-4</v>
      </c>
      <c r="I186">
        <v>7.5115487898316496E-3</v>
      </c>
      <c r="J186">
        <v>4.8710501908284997E-3</v>
      </c>
      <c r="K186" t="s">
        <v>672</v>
      </c>
      <c r="L186">
        <v>3</v>
      </c>
    </row>
    <row r="187" spans="1:12">
      <c r="A187" t="s">
        <v>673</v>
      </c>
      <c r="B187" t="s">
        <v>11</v>
      </c>
      <c r="C187" t="s">
        <v>673</v>
      </c>
      <c r="D187" t="s">
        <v>674</v>
      </c>
      <c r="F187" t="s">
        <v>312</v>
      </c>
      <c r="G187" t="s">
        <v>340</v>
      </c>
      <c r="H187">
        <v>6.4051966424920998E-4</v>
      </c>
      <c r="I187">
        <v>7.5115487898316496E-3</v>
      </c>
      <c r="J187">
        <v>4.8710501908284997E-3</v>
      </c>
      <c r="K187" t="s">
        <v>659</v>
      </c>
      <c r="L187">
        <v>3</v>
      </c>
    </row>
    <row r="188" spans="1:12">
      <c r="A188" t="s">
        <v>675</v>
      </c>
      <c r="B188" t="s">
        <v>11</v>
      </c>
      <c r="C188" t="s">
        <v>675</v>
      </c>
      <c r="D188" t="s">
        <v>676</v>
      </c>
      <c r="F188" t="s">
        <v>312</v>
      </c>
      <c r="G188" t="s">
        <v>340</v>
      </c>
      <c r="H188">
        <v>6.4051966424920998E-4</v>
      </c>
      <c r="I188">
        <v>7.5115487898316496E-3</v>
      </c>
      <c r="J188">
        <v>4.8710501908284997E-3</v>
      </c>
      <c r="K188" t="s">
        <v>642</v>
      </c>
      <c r="L188">
        <v>3</v>
      </c>
    </row>
    <row r="189" spans="1:12">
      <c r="A189" t="s">
        <v>677</v>
      </c>
      <c r="B189" t="s">
        <v>11</v>
      </c>
      <c r="C189" t="s">
        <v>677</v>
      </c>
      <c r="D189" t="s">
        <v>678</v>
      </c>
      <c r="F189" t="s">
        <v>182</v>
      </c>
      <c r="G189" t="s">
        <v>68</v>
      </c>
      <c r="H189">
        <v>6.54812897605812E-4</v>
      </c>
      <c r="I189">
        <v>7.6383227896252397E-3</v>
      </c>
      <c r="J189">
        <v>4.9532599365366796E-3</v>
      </c>
      <c r="K189" t="s">
        <v>679</v>
      </c>
      <c r="L189">
        <v>4</v>
      </c>
    </row>
    <row r="190" spans="1:12">
      <c r="A190" t="s">
        <v>680</v>
      </c>
      <c r="B190" t="s">
        <v>11</v>
      </c>
      <c r="C190" t="s">
        <v>680</v>
      </c>
      <c r="D190" t="s">
        <v>681</v>
      </c>
      <c r="F190" t="s">
        <v>182</v>
      </c>
      <c r="G190" t="s">
        <v>682</v>
      </c>
      <c r="H190">
        <v>6.8032150287485103E-4</v>
      </c>
      <c r="I190">
        <v>7.8112306586625496E-3</v>
      </c>
      <c r="J190">
        <v>5.0653863344388202E-3</v>
      </c>
      <c r="K190" t="s">
        <v>683</v>
      </c>
      <c r="L190">
        <v>4</v>
      </c>
    </row>
    <row r="191" spans="1:12">
      <c r="A191" t="s">
        <v>684</v>
      </c>
      <c r="B191" t="s">
        <v>11</v>
      </c>
      <c r="C191" t="s">
        <v>684</v>
      </c>
      <c r="D191" t="s">
        <v>685</v>
      </c>
      <c r="F191" t="s">
        <v>182</v>
      </c>
      <c r="G191" t="s">
        <v>682</v>
      </c>
      <c r="H191">
        <v>6.8032150287485103E-4</v>
      </c>
      <c r="I191">
        <v>7.8112306586625496E-3</v>
      </c>
      <c r="J191">
        <v>5.0653863344388202E-3</v>
      </c>
      <c r="K191" t="s">
        <v>686</v>
      </c>
      <c r="L191">
        <v>4</v>
      </c>
    </row>
    <row r="192" spans="1:12">
      <c r="A192" t="s">
        <v>687</v>
      </c>
      <c r="B192" t="s">
        <v>11</v>
      </c>
      <c r="C192" t="s">
        <v>687</v>
      </c>
      <c r="D192" t="s">
        <v>688</v>
      </c>
      <c r="F192" t="s">
        <v>182</v>
      </c>
      <c r="G192" t="s">
        <v>682</v>
      </c>
      <c r="H192">
        <v>6.8032150287485103E-4</v>
      </c>
      <c r="I192">
        <v>7.8112306586625496E-3</v>
      </c>
      <c r="J192">
        <v>5.0653863344388202E-3</v>
      </c>
      <c r="K192" t="s">
        <v>689</v>
      </c>
      <c r="L192">
        <v>4</v>
      </c>
    </row>
    <row r="193" spans="1:12">
      <c r="A193" t="s">
        <v>690</v>
      </c>
      <c r="B193" t="s">
        <v>11</v>
      </c>
      <c r="C193" t="s">
        <v>690</v>
      </c>
      <c r="D193" t="s">
        <v>691</v>
      </c>
      <c r="F193" t="s">
        <v>129</v>
      </c>
      <c r="G193" t="s">
        <v>428</v>
      </c>
      <c r="H193">
        <v>6.9783890836193905E-4</v>
      </c>
      <c r="I193">
        <v>7.8253165457093203E-3</v>
      </c>
      <c r="J193">
        <v>5.0745206773961599E-3</v>
      </c>
      <c r="K193" t="s">
        <v>587</v>
      </c>
      <c r="L193">
        <v>5</v>
      </c>
    </row>
    <row r="194" spans="1:12">
      <c r="A194" t="s">
        <v>692</v>
      </c>
      <c r="B194" t="s">
        <v>11</v>
      </c>
      <c r="C194" t="s">
        <v>692</v>
      </c>
      <c r="D194" t="s">
        <v>693</v>
      </c>
      <c r="F194" t="s">
        <v>694</v>
      </c>
      <c r="G194" t="s">
        <v>695</v>
      </c>
      <c r="H194">
        <v>7.0303637910823101E-4</v>
      </c>
      <c r="I194">
        <v>7.8253165457093203E-3</v>
      </c>
      <c r="J194">
        <v>5.0745206773961599E-3</v>
      </c>
      <c r="K194" t="s">
        <v>696</v>
      </c>
      <c r="L194">
        <v>2</v>
      </c>
    </row>
    <row r="195" spans="1:12">
      <c r="A195" t="s">
        <v>697</v>
      </c>
      <c r="B195" t="s">
        <v>11</v>
      </c>
      <c r="C195" t="s">
        <v>697</v>
      </c>
      <c r="D195" t="s">
        <v>698</v>
      </c>
      <c r="F195" t="s">
        <v>694</v>
      </c>
      <c r="G195" t="s">
        <v>695</v>
      </c>
      <c r="H195">
        <v>7.0303637910823101E-4</v>
      </c>
      <c r="I195">
        <v>7.8253165457093203E-3</v>
      </c>
      <c r="J195">
        <v>5.0745206773961599E-3</v>
      </c>
      <c r="K195" t="s">
        <v>699</v>
      </c>
      <c r="L195">
        <v>2</v>
      </c>
    </row>
    <row r="196" spans="1:12">
      <c r="A196" t="s">
        <v>700</v>
      </c>
      <c r="B196" t="s">
        <v>11</v>
      </c>
      <c r="C196" t="s">
        <v>700</v>
      </c>
      <c r="D196" t="s">
        <v>701</v>
      </c>
      <c r="F196" t="s">
        <v>694</v>
      </c>
      <c r="G196" t="s">
        <v>695</v>
      </c>
      <c r="H196">
        <v>7.0303637910823101E-4</v>
      </c>
      <c r="I196">
        <v>7.8253165457093203E-3</v>
      </c>
      <c r="J196">
        <v>5.0745206773961599E-3</v>
      </c>
      <c r="K196" t="s">
        <v>702</v>
      </c>
      <c r="L196">
        <v>2</v>
      </c>
    </row>
    <row r="197" spans="1:12">
      <c r="A197" t="s">
        <v>703</v>
      </c>
      <c r="B197" t="s">
        <v>11</v>
      </c>
      <c r="C197" t="s">
        <v>703</v>
      </c>
      <c r="D197" t="s">
        <v>704</v>
      </c>
      <c r="F197" t="s">
        <v>694</v>
      </c>
      <c r="G197" t="s">
        <v>695</v>
      </c>
      <c r="H197">
        <v>7.0303637910823101E-4</v>
      </c>
      <c r="I197">
        <v>7.8253165457093203E-3</v>
      </c>
      <c r="J197">
        <v>5.0745206773961599E-3</v>
      </c>
      <c r="K197" t="s">
        <v>705</v>
      </c>
      <c r="L197">
        <v>2</v>
      </c>
    </row>
    <row r="198" spans="1:12">
      <c r="A198" t="s">
        <v>706</v>
      </c>
      <c r="B198" t="s">
        <v>11</v>
      </c>
      <c r="C198" t="s">
        <v>706</v>
      </c>
      <c r="D198" t="s">
        <v>707</v>
      </c>
      <c r="F198" t="s">
        <v>694</v>
      </c>
      <c r="G198" t="s">
        <v>695</v>
      </c>
      <c r="H198">
        <v>7.0303637910823101E-4</v>
      </c>
      <c r="I198">
        <v>7.8253165457093203E-3</v>
      </c>
      <c r="J198">
        <v>5.0745206773961599E-3</v>
      </c>
      <c r="K198" t="s">
        <v>708</v>
      </c>
      <c r="L198">
        <v>2</v>
      </c>
    </row>
    <row r="199" spans="1:12">
      <c r="A199" t="s">
        <v>709</v>
      </c>
      <c r="B199" t="s">
        <v>11</v>
      </c>
      <c r="C199" t="s">
        <v>709</v>
      </c>
      <c r="D199" t="s">
        <v>710</v>
      </c>
      <c r="F199" t="s">
        <v>182</v>
      </c>
      <c r="G199" t="s">
        <v>711</v>
      </c>
      <c r="H199">
        <v>7.0652652806677799E-4</v>
      </c>
      <c r="I199">
        <v>7.8253165457093203E-3</v>
      </c>
      <c r="J199">
        <v>5.0745206773961599E-3</v>
      </c>
      <c r="K199" t="s">
        <v>712</v>
      </c>
      <c r="L199">
        <v>4</v>
      </c>
    </row>
    <row r="200" spans="1:12">
      <c r="A200" t="s">
        <v>713</v>
      </c>
      <c r="B200" t="s">
        <v>11</v>
      </c>
      <c r="C200" t="s">
        <v>713</v>
      </c>
      <c r="D200" t="s">
        <v>714</v>
      </c>
      <c r="F200" t="s">
        <v>129</v>
      </c>
      <c r="G200" t="s">
        <v>715</v>
      </c>
      <c r="H200">
        <v>7.1601430254223395E-4</v>
      </c>
      <c r="I200">
        <v>7.8510968273756004E-3</v>
      </c>
      <c r="J200">
        <v>5.0912385407082001E-3</v>
      </c>
      <c r="K200" t="s">
        <v>716</v>
      </c>
      <c r="L200">
        <v>5</v>
      </c>
    </row>
    <row r="201" spans="1:12">
      <c r="A201" t="s">
        <v>717</v>
      </c>
      <c r="B201" t="s">
        <v>11</v>
      </c>
      <c r="C201" t="s">
        <v>717</v>
      </c>
      <c r="D201" t="s">
        <v>718</v>
      </c>
      <c r="F201" t="s">
        <v>129</v>
      </c>
      <c r="G201" t="s">
        <v>715</v>
      </c>
      <c r="H201">
        <v>7.1601430254223395E-4</v>
      </c>
      <c r="I201">
        <v>7.8510968273756004E-3</v>
      </c>
      <c r="J201">
        <v>5.0912385407082001E-3</v>
      </c>
      <c r="K201" t="s">
        <v>716</v>
      </c>
      <c r="L201">
        <v>5</v>
      </c>
    </row>
    <row r="202" spans="1:12">
      <c r="A202" t="s">
        <v>719</v>
      </c>
      <c r="B202" t="s">
        <v>11</v>
      </c>
      <c r="C202" t="s">
        <v>719</v>
      </c>
      <c r="D202" t="s">
        <v>720</v>
      </c>
      <c r="F202" t="s">
        <v>312</v>
      </c>
      <c r="G202" t="s">
        <v>721</v>
      </c>
      <c r="H202">
        <v>7.34692069772391E-4</v>
      </c>
      <c r="I202">
        <v>7.9368458571963205E-3</v>
      </c>
      <c r="J202">
        <v>5.1468446267176598E-3</v>
      </c>
      <c r="K202" t="s">
        <v>472</v>
      </c>
      <c r="L202">
        <v>3</v>
      </c>
    </row>
    <row r="203" spans="1:12">
      <c r="A203" t="s">
        <v>722</v>
      </c>
      <c r="B203" t="s">
        <v>11</v>
      </c>
      <c r="C203" t="s">
        <v>722</v>
      </c>
      <c r="D203" t="s">
        <v>723</v>
      </c>
      <c r="F203" t="s">
        <v>312</v>
      </c>
      <c r="G203" t="s">
        <v>721</v>
      </c>
      <c r="H203">
        <v>7.34692069772391E-4</v>
      </c>
      <c r="I203">
        <v>7.9368458571963205E-3</v>
      </c>
      <c r="J203">
        <v>5.1468446267176598E-3</v>
      </c>
      <c r="K203" t="s">
        <v>724</v>
      </c>
      <c r="L203">
        <v>3</v>
      </c>
    </row>
    <row r="204" spans="1:12">
      <c r="A204" t="s">
        <v>725</v>
      </c>
      <c r="B204" t="s">
        <v>11</v>
      </c>
      <c r="C204" t="s">
        <v>725</v>
      </c>
      <c r="D204" t="s">
        <v>726</v>
      </c>
      <c r="F204" t="s">
        <v>312</v>
      </c>
      <c r="G204" t="s">
        <v>721</v>
      </c>
      <c r="H204">
        <v>7.34692069772391E-4</v>
      </c>
      <c r="I204">
        <v>7.9368458571963205E-3</v>
      </c>
      <c r="J204">
        <v>5.1468446267176598E-3</v>
      </c>
      <c r="K204" t="s">
        <v>669</v>
      </c>
      <c r="L204">
        <v>3</v>
      </c>
    </row>
    <row r="205" spans="1:12">
      <c r="A205" t="s">
        <v>727</v>
      </c>
      <c r="B205" t="s">
        <v>11</v>
      </c>
      <c r="C205" t="s">
        <v>727</v>
      </c>
      <c r="D205" t="s">
        <v>728</v>
      </c>
      <c r="F205" t="s">
        <v>129</v>
      </c>
      <c r="G205" t="s">
        <v>446</v>
      </c>
      <c r="H205">
        <v>7.7267089206244804E-4</v>
      </c>
      <c r="I205">
        <v>8.3062120896713193E-3</v>
      </c>
      <c r="J205">
        <v>5.3863693249554603E-3</v>
      </c>
      <c r="K205" t="s">
        <v>729</v>
      </c>
      <c r="L205">
        <v>5</v>
      </c>
    </row>
    <row r="206" spans="1:12">
      <c r="A206" t="s">
        <v>730</v>
      </c>
      <c r="B206" t="s">
        <v>11</v>
      </c>
      <c r="C206" t="s">
        <v>730</v>
      </c>
      <c r="D206" t="s">
        <v>731</v>
      </c>
      <c r="F206" t="s">
        <v>312</v>
      </c>
      <c r="G206" t="s">
        <v>732</v>
      </c>
      <c r="H206">
        <v>7.8490423916703503E-4</v>
      </c>
      <c r="I206">
        <v>8.3965609585039402E-3</v>
      </c>
      <c r="J206">
        <v>5.4449582907043102E-3</v>
      </c>
      <c r="K206" t="s">
        <v>733</v>
      </c>
      <c r="L206">
        <v>3</v>
      </c>
    </row>
    <row r="207" spans="1:12">
      <c r="A207" t="s">
        <v>734</v>
      </c>
      <c r="B207" t="s">
        <v>11</v>
      </c>
      <c r="C207" t="s">
        <v>734</v>
      </c>
      <c r="D207" t="s">
        <v>735</v>
      </c>
      <c r="F207" t="s">
        <v>182</v>
      </c>
      <c r="G207" t="s">
        <v>191</v>
      </c>
      <c r="H207">
        <v>7.89426156385263E-4</v>
      </c>
      <c r="I207">
        <v>8.40393961627613E-3</v>
      </c>
      <c r="J207">
        <v>5.4497431644174301E-3</v>
      </c>
      <c r="K207" t="s">
        <v>615</v>
      </c>
      <c r="L207">
        <v>4</v>
      </c>
    </row>
    <row r="208" spans="1:12">
      <c r="A208" t="s">
        <v>736</v>
      </c>
      <c r="B208" t="s">
        <v>11</v>
      </c>
      <c r="C208" t="s">
        <v>736</v>
      </c>
      <c r="D208" t="s">
        <v>737</v>
      </c>
      <c r="F208" t="s">
        <v>129</v>
      </c>
      <c r="G208" t="s">
        <v>738</v>
      </c>
      <c r="H208">
        <v>8.3261475316552004E-4</v>
      </c>
      <c r="I208">
        <v>8.8208896313622508E-3</v>
      </c>
      <c r="J208">
        <v>5.7201247471478098E-3</v>
      </c>
      <c r="K208" t="s">
        <v>739</v>
      </c>
      <c r="L208">
        <v>5</v>
      </c>
    </row>
    <row r="209" spans="1:12">
      <c r="A209" t="s">
        <v>740</v>
      </c>
      <c r="B209" t="s">
        <v>11</v>
      </c>
      <c r="C209" t="s">
        <v>740</v>
      </c>
      <c r="D209" t="s">
        <v>741</v>
      </c>
      <c r="F209" t="s">
        <v>312</v>
      </c>
      <c r="G209" t="s">
        <v>742</v>
      </c>
      <c r="H209">
        <v>8.37248444566912E-4</v>
      </c>
      <c r="I209">
        <v>8.8273357641117205E-3</v>
      </c>
      <c r="J209">
        <v>5.7243049018719499E-3</v>
      </c>
      <c r="K209" t="s">
        <v>743</v>
      </c>
      <c r="L209">
        <v>3</v>
      </c>
    </row>
    <row r="210" spans="1:12">
      <c r="A210" t="s">
        <v>744</v>
      </c>
      <c r="B210" t="s">
        <v>11</v>
      </c>
      <c r="C210" t="s">
        <v>744</v>
      </c>
      <c r="D210" t="s">
        <v>745</v>
      </c>
      <c r="F210" t="s">
        <v>182</v>
      </c>
      <c r="G210" t="s">
        <v>415</v>
      </c>
      <c r="H210">
        <v>8.4836924774814597E-4</v>
      </c>
      <c r="I210">
        <v>8.9017883268501605E-3</v>
      </c>
      <c r="J210">
        <v>5.7725855135116796E-3</v>
      </c>
      <c r="K210" t="s">
        <v>746</v>
      </c>
      <c r="L210">
        <v>4</v>
      </c>
    </row>
    <row r="211" spans="1:12">
      <c r="A211" t="s">
        <v>747</v>
      </c>
      <c r="B211" t="s">
        <v>11</v>
      </c>
      <c r="C211" t="s">
        <v>747</v>
      </c>
      <c r="D211" t="s">
        <v>748</v>
      </c>
      <c r="F211" t="s">
        <v>694</v>
      </c>
      <c r="G211" t="s">
        <v>313</v>
      </c>
      <c r="H211">
        <v>8.5702909367109099E-4</v>
      </c>
      <c r="I211">
        <v>8.9074161252166006E-3</v>
      </c>
      <c r="J211">
        <v>5.7762349990004699E-3</v>
      </c>
      <c r="K211" t="s">
        <v>749</v>
      </c>
      <c r="L211">
        <v>2</v>
      </c>
    </row>
    <row r="212" spans="1:12">
      <c r="A212" t="s">
        <v>750</v>
      </c>
      <c r="B212" t="s">
        <v>11</v>
      </c>
      <c r="C212" t="s">
        <v>750</v>
      </c>
      <c r="D212" t="s">
        <v>751</v>
      </c>
      <c r="F212" t="s">
        <v>694</v>
      </c>
      <c r="G212" t="s">
        <v>313</v>
      </c>
      <c r="H212">
        <v>8.5702909367109099E-4</v>
      </c>
      <c r="I212">
        <v>8.9074161252166006E-3</v>
      </c>
      <c r="J212">
        <v>5.7762349990004699E-3</v>
      </c>
      <c r="K212" t="s">
        <v>752</v>
      </c>
      <c r="L212">
        <v>2</v>
      </c>
    </row>
    <row r="213" spans="1:12">
      <c r="A213" t="s">
        <v>753</v>
      </c>
      <c r="B213" t="s">
        <v>11</v>
      </c>
      <c r="C213" t="s">
        <v>753</v>
      </c>
      <c r="D213" t="s">
        <v>754</v>
      </c>
      <c r="F213" t="s">
        <v>129</v>
      </c>
      <c r="G213" t="s">
        <v>755</v>
      </c>
      <c r="H213">
        <v>8.7446229503994495E-4</v>
      </c>
      <c r="I213">
        <v>9.0032667278056294E-3</v>
      </c>
      <c r="J213">
        <v>5.8383917005137903E-3</v>
      </c>
      <c r="K213" t="s">
        <v>756</v>
      </c>
      <c r="L213">
        <v>5</v>
      </c>
    </row>
    <row r="214" spans="1:12">
      <c r="A214" t="s">
        <v>757</v>
      </c>
      <c r="B214" t="s">
        <v>11</v>
      </c>
      <c r="C214" t="s">
        <v>757</v>
      </c>
      <c r="D214" t="s">
        <v>758</v>
      </c>
      <c r="F214" t="s">
        <v>129</v>
      </c>
      <c r="G214" t="s">
        <v>755</v>
      </c>
      <c r="H214">
        <v>8.7446229503994495E-4</v>
      </c>
      <c r="I214">
        <v>9.0032667278056294E-3</v>
      </c>
      <c r="J214">
        <v>5.8383917005137903E-3</v>
      </c>
      <c r="K214" t="s">
        <v>756</v>
      </c>
      <c r="L214">
        <v>5</v>
      </c>
    </row>
    <row r="215" spans="1:12">
      <c r="A215" t="s">
        <v>759</v>
      </c>
      <c r="B215" t="s">
        <v>11</v>
      </c>
      <c r="C215" t="s">
        <v>759</v>
      </c>
      <c r="D215" t="s">
        <v>760</v>
      </c>
      <c r="F215" t="s">
        <v>312</v>
      </c>
      <c r="G215" t="s">
        <v>368</v>
      </c>
      <c r="H215">
        <v>8.9176008419752798E-4</v>
      </c>
      <c r="I215">
        <v>9.1384573114260698E-3</v>
      </c>
      <c r="J215">
        <v>5.9260593888384701E-3</v>
      </c>
      <c r="K215" t="s">
        <v>761</v>
      </c>
      <c r="L215">
        <v>3</v>
      </c>
    </row>
    <row r="216" spans="1:12">
      <c r="A216" t="s">
        <v>762</v>
      </c>
      <c r="B216" t="s">
        <v>11</v>
      </c>
      <c r="C216" t="s">
        <v>762</v>
      </c>
      <c r="D216" t="s">
        <v>763</v>
      </c>
      <c r="F216" t="s">
        <v>182</v>
      </c>
      <c r="G216" t="s">
        <v>282</v>
      </c>
      <c r="H216">
        <v>9.1035295618338997E-4</v>
      </c>
      <c r="I216">
        <v>9.2856001530705803E-3</v>
      </c>
      <c r="J216">
        <v>6.0214778154406802E-3</v>
      </c>
      <c r="K216" t="s">
        <v>764</v>
      </c>
      <c r="L216">
        <v>4</v>
      </c>
    </row>
    <row r="217" spans="1:12">
      <c r="A217" t="s">
        <v>765</v>
      </c>
      <c r="B217" t="s">
        <v>11</v>
      </c>
      <c r="C217" t="s">
        <v>765</v>
      </c>
      <c r="D217" t="s">
        <v>766</v>
      </c>
      <c r="F217" t="s">
        <v>129</v>
      </c>
      <c r="G217" t="s">
        <v>767</v>
      </c>
      <c r="H217">
        <v>9.1785928738664902E-4</v>
      </c>
      <c r="I217">
        <v>9.3188213761061199E-3</v>
      </c>
      <c r="J217">
        <v>6.04302094180976E-3</v>
      </c>
      <c r="K217" t="s">
        <v>768</v>
      </c>
      <c r="L217">
        <v>5</v>
      </c>
    </row>
    <row r="218" spans="1:12">
      <c r="A218" t="s">
        <v>769</v>
      </c>
      <c r="B218" t="s">
        <v>11</v>
      </c>
      <c r="C218" t="s">
        <v>769</v>
      </c>
      <c r="D218" t="s">
        <v>770</v>
      </c>
      <c r="F218" t="s">
        <v>129</v>
      </c>
      <c r="G218" t="s">
        <v>455</v>
      </c>
      <c r="H218">
        <v>9.4015001624801699E-4</v>
      </c>
      <c r="I218">
        <v>9.4545617298863096E-3</v>
      </c>
      <c r="J218">
        <v>6.1310451422355401E-3</v>
      </c>
      <c r="K218" t="s">
        <v>771</v>
      </c>
      <c r="L218">
        <v>5</v>
      </c>
    </row>
    <row r="219" spans="1:12">
      <c r="A219" t="s">
        <v>772</v>
      </c>
      <c r="B219" t="s">
        <v>11</v>
      </c>
      <c r="C219" t="s">
        <v>772</v>
      </c>
      <c r="D219" t="s">
        <v>773</v>
      </c>
      <c r="F219" t="s">
        <v>182</v>
      </c>
      <c r="G219" t="s">
        <v>774</v>
      </c>
      <c r="H219">
        <v>9.4251166289716299E-4</v>
      </c>
      <c r="I219">
        <v>9.4545617298863096E-3</v>
      </c>
      <c r="J219">
        <v>6.1310451422355401E-3</v>
      </c>
      <c r="K219" t="s">
        <v>775</v>
      </c>
      <c r="L219">
        <v>4</v>
      </c>
    </row>
    <row r="220" spans="1:12">
      <c r="A220" t="s">
        <v>776</v>
      </c>
      <c r="B220" t="s">
        <v>11</v>
      </c>
      <c r="C220" t="s">
        <v>776</v>
      </c>
      <c r="D220" t="s">
        <v>777</v>
      </c>
      <c r="F220" t="s">
        <v>312</v>
      </c>
      <c r="G220" t="s">
        <v>383</v>
      </c>
      <c r="H220">
        <v>9.4847404494983502E-4</v>
      </c>
      <c r="I220">
        <v>9.4545617298863096E-3</v>
      </c>
      <c r="J220">
        <v>6.1310451422355401E-3</v>
      </c>
      <c r="K220" t="s">
        <v>513</v>
      </c>
      <c r="L220">
        <v>3</v>
      </c>
    </row>
    <row r="221" spans="1:12">
      <c r="A221" t="s">
        <v>778</v>
      </c>
      <c r="B221" t="s">
        <v>11</v>
      </c>
      <c r="C221" t="s">
        <v>778</v>
      </c>
      <c r="D221" t="s">
        <v>779</v>
      </c>
      <c r="F221" t="s">
        <v>312</v>
      </c>
      <c r="G221" t="s">
        <v>383</v>
      </c>
      <c r="H221">
        <v>9.4847404494983502E-4</v>
      </c>
      <c r="I221">
        <v>9.4545617298863096E-3</v>
      </c>
      <c r="J221">
        <v>6.1310451422355401E-3</v>
      </c>
      <c r="K221" t="s">
        <v>314</v>
      </c>
      <c r="L221">
        <v>3</v>
      </c>
    </row>
    <row r="222" spans="1:12">
      <c r="A222" t="s">
        <v>780</v>
      </c>
      <c r="B222" t="s">
        <v>11</v>
      </c>
      <c r="C222" t="s">
        <v>780</v>
      </c>
      <c r="D222" t="s">
        <v>781</v>
      </c>
      <c r="F222" t="s">
        <v>182</v>
      </c>
      <c r="G222" t="s">
        <v>436</v>
      </c>
      <c r="H222">
        <v>9.7546247621205695E-4</v>
      </c>
      <c r="I222">
        <v>9.67958918702733E-3</v>
      </c>
      <c r="J222">
        <v>6.2769697802452402E-3</v>
      </c>
      <c r="K222" t="s">
        <v>746</v>
      </c>
      <c r="L222">
        <v>4</v>
      </c>
    </row>
    <row r="223" spans="1:12">
      <c r="A223" t="s">
        <v>782</v>
      </c>
      <c r="B223" t="s">
        <v>11</v>
      </c>
      <c r="C223" t="s">
        <v>782</v>
      </c>
      <c r="D223" t="s">
        <v>783</v>
      </c>
      <c r="F223" t="s">
        <v>129</v>
      </c>
      <c r="G223" t="s">
        <v>784</v>
      </c>
      <c r="H223">
        <v>9.8593845069408709E-4</v>
      </c>
      <c r="I223">
        <v>9.6957983066014893E-3</v>
      </c>
      <c r="J223">
        <v>6.2874809860170499E-3</v>
      </c>
      <c r="K223" t="s">
        <v>756</v>
      </c>
      <c r="L223">
        <v>5</v>
      </c>
    </row>
    <row r="224" spans="1:12">
      <c r="A224" t="s">
        <v>785</v>
      </c>
      <c r="B224" t="s">
        <v>11</v>
      </c>
      <c r="C224" t="s">
        <v>785</v>
      </c>
      <c r="D224" t="s">
        <v>786</v>
      </c>
      <c r="F224" t="s">
        <v>129</v>
      </c>
      <c r="G224" t="s">
        <v>784</v>
      </c>
      <c r="H224">
        <v>9.8593845069408709E-4</v>
      </c>
      <c r="I224">
        <v>9.6957983066014893E-3</v>
      </c>
      <c r="J224">
        <v>6.2874809860170499E-3</v>
      </c>
      <c r="K224" t="s">
        <v>756</v>
      </c>
      <c r="L224">
        <v>5</v>
      </c>
    </row>
    <row r="225" spans="1:12">
      <c r="A225" t="s">
        <v>787</v>
      </c>
      <c r="B225" t="s">
        <v>11</v>
      </c>
      <c r="C225" t="s">
        <v>787</v>
      </c>
      <c r="D225" t="s">
        <v>788</v>
      </c>
      <c r="F225" t="s">
        <v>182</v>
      </c>
      <c r="G225" t="s">
        <v>789</v>
      </c>
      <c r="H225">
        <v>1.0092160521375699E-3</v>
      </c>
      <c r="I225">
        <v>9.8804053675789795E-3</v>
      </c>
      <c r="J225">
        <v>6.4071940152154996E-3</v>
      </c>
      <c r="K225" t="s">
        <v>790</v>
      </c>
      <c r="L225">
        <v>4</v>
      </c>
    </row>
    <row r="226" spans="1:12">
      <c r="A226" t="s">
        <v>791</v>
      </c>
      <c r="B226" t="s">
        <v>11</v>
      </c>
      <c r="C226" t="s">
        <v>791</v>
      </c>
      <c r="D226" t="s">
        <v>792</v>
      </c>
      <c r="F226" t="s">
        <v>694</v>
      </c>
      <c r="G226" t="s">
        <v>793</v>
      </c>
      <c r="H226">
        <v>1.0257575709582099E-3</v>
      </c>
      <c r="I226">
        <v>9.9096315115037806E-3</v>
      </c>
      <c r="J226">
        <v>6.4261464334084998E-3</v>
      </c>
      <c r="K226" t="s">
        <v>794</v>
      </c>
      <c r="L226">
        <v>2</v>
      </c>
    </row>
    <row r="227" spans="1:12">
      <c r="A227" t="s">
        <v>795</v>
      </c>
      <c r="B227" t="s">
        <v>11</v>
      </c>
      <c r="C227" t="s">
        <v>795</v>
      </c>
      <c r="D227" t="s">
        <v>796</v>
      </c>
      <c r="F227" t="s">
        <v>694</v>
      </c>
      <c r="G227" t="s">
        <v>793</v>
      </c>
      <c r="H227">
        <v>1.0257575709582099E-3</v>
      </c>
      <c r="I227">
        <v>9.9096315115037806E-3</v>
      </c>
      <c r="J227">
        <v>6.4261464334084998E-3</v>
      </c>
      <c r="K227" t="s">
        <v>797</v>
      </c>
      <c r="L227">
        <v>2</v>
      </c>
    </row>
    <row r="228" spans="1:12">
      <c r="A228" t="s">
        <v>798</v>
      </c>
      <c r="B228" t="s">
        <v>11</v>
      </c>
      <c r="C228" t="s">
        <v>798</v>
      </c>
      <c r="D228" t="s">
        <v>799</v>
      </c>
      <c r="F228" t="s">
        <v>694</v>
      </c>
      <c r="G228" t="s">
        <v>793</v>
      </c>
      <c r="H228">
        <v>1.0257575709582099E-3</v>
      </c>
      <c r="I228">
        <v>9.9096315115037806E-3</v>
      </c>
      <c r="J228">
        <v>6.4261464334084998E-3</v>
      </c>
      <c r="K228" t="s">
        <v>797</v>
      </c>
      <c r="L228">
        <v>2</v>
      </c>
    </row>
    <row r="229" spans="1:12">
      <c r="A229" t="s">
        <v>800</v>
      </c>
      <c r="B229" t="s">
        <v>11</v>
      </c>
      <c r="C229" t="s">
        <v>800</v>
      </c>
      <c r="D229" t="s">
        <v>801</v>
      </c>
      <c r="F229" t="s">
        <v>119</v>
      </c>
      <c r="G229" t="s">
        <v>802</v>
      </c>
      <c r="H229">
        <v>1.06252423424867E-3</v>
      </c>
      <c r="I229">
        <v>1.01751774921717E-2</v>
      </c>
      <c r="J229">
        <v>6.5983463133530099E-3</v>
      </c>
      <c r="K229" t="s">
        <v>663</v>
      </c>
      <c r="L229">
        <v>6</v>
      </c>
    </row>
    <row r="230" spans="1:12">
      <c r="A230" t="s">
        <v>803</v>
      </c>
      <c r="B230" t="s">
        <v>11</v>
      </c>
      <c r="C230" t="s">
        <v>803</v>
      </c>
      <c r="D230" t="s">
        <v>804</v>
      </c>
      <c r="F230" t="s">
        <v>119</v>
      </c>
      <c r="G230" t="s">
        <v>802</v>
      </c>
      <c r="H230">
        <v>1.06252423424867E-3</v>
      </c>
      <c r="I230">
        <v>1.01751774921717E-2</v>
      </c>
      <c r="J230">
        <v>6.5983463133530099E-3</v>
      </c>
      <c r="K230" t="s">
        <v>583</v>
      </c>
      <c r="L230">
        <v>6</v>
      </c>
    </row>
    <row r="231" spans="1:12">
      <c r="A231" t="s">
        <v>805</v>
      </c>
      <c r="B231" t="s">
        <v>11</v>
      </c>
      <c r="C231" t="s">
        <v>805</v>
      </c>
      <c r="D231" t="s">
        <v>806</v>
      </c>
      <c r="F231" t="s">
        <v>119</v>
      </c>
      <c r="G231" t="s">
        <v>807</v>
      </c>
      <c r="H231">
        <v>1.1010053809733899E-3</v>
      </c>
      <c r="I231">
        <v>1.04978469585854E-2</v>
      </c>
      <c r="J231">
        <v>6.8075893349888103E-3</v>
      </c>
      <c r="K231" t="s">
        <v>808</v>
      </c>
      <c r="L231">
        <v>6</v>
      </c>
    </row>
    <row r="232" spans="1:12">
      <c r="A232" t="s">
        <v>809</v>
      </c>
      <c r="B232" t="s">
        <v>11</v>
      </c>
      <c r="C232" t="s">
        <v>809</v>
      </c>
      <c r="D232" t="s">
        <v>810</v>
      </c>
      <c r="F232" t="s">
        <v>312</v>
      </c>
      <c r="G232" t="s">
        <v>400</v>
      </c>
      <c r="H232">
        <v>1.1321711400866E-3</v>
      </c>
      <c r="I232">
        <v>1.07482740701728E-2</v>
      </c>
      <c r="J232">
        <v>6.9699850091455798E-3</v>
      </c>
      <c r="K232" t="s">
        <v>811</v>
      </c>
      <c r="L232">
        <v>3</v>
      </c>
    </row>
    <row r="233" spans="1:12">
      <c r="A233" t="s">
        <v>812</v>
      </c>
      <c r="B233" t="s">
        <v>11</v>
      </c>
      <c r="C233" t="s">
        <v>812</v>
      </c>
      <c r="D233" t="s">
        <v>813</v>
      </c>
      <c r="F233" t="s">
        <v>312</v>
      </c>
      <c r="G233" t="s">
        <v>814</v>
      </c>
      <c r="H233">
        <v>1.1980331727241601E-3</v>
      </c>
      <c r="I233">
        <v>1.11751133047285E-2</v>
      </c>
      <c r="J233">
        <v>7.2467795016143196E-3</v>
      </c>
      <c r="K233" t="s">
        <v>815</v>
      </c>
      <c r="L233">
        <v>3</v>
      </c>
    </row>
    <row r="234" spans="1:12">
      <c r="A234" t="s">
        <v>816</v>
      </c>
      <c r="B234" t="s">
        <v>11</v>
      </c>
      <c r="C234" t="s">
        <v>816</v>
      </c>
      <c r="D234" t="s">
        <v>817</v>
      </c>
      <c r="F234" t="s">
        <v>312</v>
      </c>
      <c r="G234" t="s">
        <v>814</v>
      </c>
      <c r="H234">
        <v>1.1980331727241601E-3</v>
      </c>
      <c r="I234">
        <v>1.11751133047285E-2</v>
      </c>
      <c r="J234">
        <v>7.2467795016143196E-3</v>
      </c>
      <c r="K234" t="s">
        <v>818</v>
      </c>
      <c r="L234">
        <v>3</v>
      </c>
    </row>
    <row r="235" spans="1:12">
      <c r="A235" t="s">
        <v>819</v>
      </c>
      <c r="B235" t="s">
        <v>11</v>
      </c>
      <c r="C235" t="s">
        <v>819</v>
      </c>
      <c r="D235" t="s">
        <v>820</v>
      </c>
      <c r="F235" t="s">
        <v>694</v>
      </c>
      <c r="G235" t="s">
        <v>183</v>
      </c>
      <c r="H235">
        <v>1.2091039700868999E-3</v>
      </c>
      <c r="I235">
        <v>1.11751133047285E-2</v>
      </c>
      <c r="J235">
        <v>7.2467795016143196E-3</v>
      </c>
      <c r="K235" t="s">
        <v>794</v>
      </c>
      <c r="L235">
        <v>2</v>
      </c>
    </row>
    <row r="236" spans="1:12">
      <c r="A236" t="s">
        <v>821</v>
      </c>
      <c r="B236" t="s">
        <v>11</v>
      </c>
      <c r="C236" t="s">
        <v>821</v>
      </c>
      <c r="D236" t="s">
        <v>822</v>
      </c>
      <c r="F236" t="s">
        <v>694</v>
      </c>
      <c r="G236" t="s">
        <v>183</v>
      </c>
      <c r="H236">
        <v>1.2091039700868999E-3</v>
      </c>
      <c r="I236">
        <v>1.11751133047285E-2</v>
      </c>
      <c r="J236">
        <v>7.2467795016143196E-3</v>
      </c>
      <c r="K236" t="s">
        <v>797</v>
      </c>
      <c r="L236">
        <v>2</v>
      </c>
    </row>
    <row r="237" spans="1:12">
      <c r="A237" t="s">
        <v>823</v>
      </c>
      <c r="B237" t="s">
        <v>11</v>
      </c>
      <c r="C237" t="s">
        <v>823</v>
      </c>
      <c r="D237" t="s">
        <v>824</v>
      </c>
      <c r="F237" t="s">
        <v>694</v>
      </c>
      <c r="G237" t="s">
        <v>183</v>
      </c>
      <c r="H237">
        <v>1.2091039700868999E-3</v>
      </c>
      <c r="I237">
        <v>1.11751133047285E-2</v>
      </c>
      <c r="J237">
        <v>7.2467795016143196E-3</v>
      </c>
      <c r="K237" t="s">
        <v>797</v>
      </c>
      <c r="L237">
        <v>2</v>
      </c>
    </row>
    <row r="238" spans="1:12">
      <c r="A238" t="s">
        <v>825</v>
      </c>
      <c r="B238" t="s">
        <v>11</v>
      </c>
      <c r="C238" t="s">
        <v>825</v>
      </c>
      <c r="D238" t="s">
        <v>826</v>
      </c>
      <c r="F238" t="s">
        <v>694</v>
      </c>
      <c r="G238" t="s">
        <v>183</v>
      </c>
      <c r="H238">
        <v>1.2091039700868999E-3</v>
      </c>
      <c r="I238">
        <v>1.11751133047285E-2</v>
      </c>
      <c r="J238">
        <v>7.2467795016143196E-3</v>
      </c>
      <c r="K238" t="s">
        <v>827</v>
      </c>
      <c r="L238">
        <v>2</v>
      </c>
    </row>
    <row r="239" spans="1:12">
      <c r="A239" t="s">
        <v>828</v>
      </c>
      <c r="B239" t="s">
        <v>11</v>
      </c>
      <c r="C239" t="s">
        <v>828</v>
      </c>
      <c r="D239" t="s">
        <v>829</v>
      </c>
      <c r="F239" t="s">
        <v>129</v>
      </c>
      <c r="G239" t="s">
        <v>830</v>
      </c>
      <c r="H239">
        <v>1.21280299431162E-3</v>
      </c>
      <c r="I239">
        <v>1.11751133047285E-2</v>
      </c>
      <c r="J239">
        <v>7.2467795016143196E-3</v>
      </c>
      <c r="K239" t="s">
        <v>739</v>
      </c>
      <c r="L239">
        <v>5</v>
      </c>
    </row>
    <row r="240" spans="1:12">
      <c r="A240" t="s">
        <v>831</v>
      </c>
      <c r="B240" t="s">
        <v>11</v>
      </c>
      <c r="C240" t="s">
        <v>831</v>
      </c>
      <c r="D240" t="s">
        <v>832</v>
      </c>
      <c r="F240" t="s">
        <v>312</v>
      </c>
      <c r="G240" t="s">
        <v>833</v>
      </c>
      <c r="H240">
        <v>1.2662644357246901E-3</v>
      </c>
      <c r="I240">
        <v>1.15461299617854E-2</v>
      </c>
      <c r="J240">
        <v>7.4873744586229102E-3</v>
      </c>
      <c r="K240" t="s">
        <v>834</v>
      </c>
      <c r="L240">
        <v>3</v>
      </c>
    </row>
    <row r="241" spans="1:12">
      <c r="A241" t="s">
        <v>835</v>
      </c>
      <c r="B241" t="s">
        <v>11</v>
      </c>
      <c r="C241" t="s">
        <v>835</v>
      </c>
      <c r="D241" t="s">
        <v>836</v>
      </c>
      <c r="F241" t="s">
        <v>182</v>
      </c>
      <c r="G241" t="s">
        <v>837</v>
      </c>
      <c r="H241">
        <v>1.26886334737359E-3</v>
      </c>
      <c r="I241">
        <v>1.15461299617854E-2</v>
      </c>
      <c r="J241">
        <v>7.4873744586229102E-3</v>
      </c>
      <c r="K241" t="s">
        <v>341</v>
      </c>
      <c r="L241">
        <v>4</v>
      </c>
    </row>
    <row r="242" spans="1:12">
      <c r="A242" t="s">
        <v>838</v>
      </c>
      <c r="B242" t="s">
        <v>11</v>
      </c>
      <c r="C242" t="s">
        <v>838</v>
      </c>
      <c r="D242" t="s">
        <v>839</v>
      </c>
      <c r="F242" t="s">
        <v>182</v>
      </c>
      <c r="G242" t="s">
        <v>837</v>
      </c>
      <c r="H242">
        <v>1.26886334737359E-3</v>
      </c>
      <c r="I242">
        <v>1.15461299617854E-2</v>
      </c>
      <c r="J242">
        <v>7.4873744586229102E-3</v>
      </c>
      <c r="K242" t="s">
        <v>840</v>
      </c>
      <c r="L242">
        <v>4</v>
      </c>
    </row>
    <row r="243" spans="1:12">
      <c r="A243" t="s">
        <v>841</v>
      </c>
      <c r="B243" t="s">
        <v>11</v>
      </c>
      <c r="C243" t="s">
        <v>841</v>
      </c>
      <c r="D243" t="s">
        <v>842</v>
      </c>
      <c r="F243" t="s">
        <v>114</v>
      </c>
      <c r="G243" t="s">
        <v>843</v>
      </c>
      <c r="H243">
        <v>1.2776456875068401E-3</v>
      </c>
      <c r="I243">
        <v>1.1578004102076499E-2</v>
      </c>
      <c r="J243">
        <v>7.5080440357622701E-3</v>
      </c>
      <c r="K243" t="s">
        <v>844</v>
      </c>
      <c r="L243">
        <v>7</v>
      </c>
    </row>
    <row r="244" spans="1:12">
      <c r="A244" t="s">
        <v>845</v>
      </c>
      <c r="B244" t="s">
        <v>11</v>
      </c>
      <c r="C244" t="s">
        <v>845</v>
      </c>
      <c r="D244" t="s">
        <v>846</v>
      </c>
      <c r="F244" t="s">
        <v>312</v>
      </c>
      <c r="G244" t="s">
        <v>847</v>
      </c>
      <c r="H244">
        <v>1.3368968344807299E-3</v>
      </c>
      <c r="I244">
        <v>1.20650813087088E-2</v>
      </c>
      <c r="J244">
        <v>7.8239013358608108E-3</v>
      </c>
      <c r="K244" t="s">
        <v>848</v>
      </c>
      <c r="L244">
        <v>3</v>
      </c>
    </row>
    <row r="245" spans="1:12">
      <c r="A245" t="s">
        <v>849</v>
      </c>
      <c r="B245" t="s">
        <v>11</v>
      </c>
      <c r="C245" t="s">
        <v>849</v>
      </c>
      <c r="D245" t="s">
        <v>850</v>
      </c>
      <c r="F245" t="s">
        <v>182</v>
      </c>
      <c r="G245" t="s">
        <v>309</v>
      </c>
      <c r="H245">
        <v>1.3508801151823999E-3</v>
      </c>
      <c r="I245">
        <v>1.21277687998403E-2</v>
      </c>
      <c r="J245">
        <v>7.8645525948996594E-3</v>
      </c>
      <c r="K245" t="s">
        <v>851</v>
      </c>
      <c r="L245">
        <v>4</v>
      </c>
    </row>
    <row r="246" spans="1:12">
      <c r="A246" t="s">
        <v>852</v>
      </c>
      <c r="B246" t="s">
        <v>11</v>
      </c>
      <c r="C246" t="s">
        <v>852</v>
      </c>
      <c r="D246" t="s">
        <v>853</v>
      </c>
      <c r="F246" t="s">
        <v>119</v>
      </c>
      <c r="G246" t="s">
        <v>854</v>
      </c>
      <c r="H246">
        <v>1.3549034910902301E-3</v>
      </c>
      <c r="I246">
        <v>1.21277687998403E-2</v>
      </c>
      <c r="J246">
        <v>7.8645525948996594E-3</v>
      </c>
      <c r="K246" t="s">
        <v>855</v>
      </c>
      <c r="L246">
        <v>6</v>
      </c>
    </row>
    <row r="247" spans="1:12">
      <c r="A247" t="s">
        <v>856</v>
      </c>
      <c r="B247" t="s">
        <v>11</v>
      </c>
      <c r="C247" t="s">
        <v>856</v>
      </c>
      <c r="D247" t="s">
        <v>857</v>
      </c>
      <c r="F247" t="s">
        <v>129</v>
      </c>
      <c r="G247" t="s">
        <v>170</v>
      </c>
      <c r="H247">
        <v>1.38414658410878E-3</v>
      </c>
      <c r="I247">
        <v>1.22700246391405E-2</v>
      </c>
      <c r="J247">
        <v>7.9568019235744403E-3</v>
      </c>
      <c r="K247" t="s">
        <v>858</v>
      </c>
      <c r="L247">
        <v>5</v>
      </c>
    </row>
    <row r="248" spans="1:12">
      <c r="A248" t="s">
        <v>859</v>
      </c>
      <c r="B248" t="s">
        <v>11</v>
      </c>
      <c r="C248" t="s">
        <v>859</v>
      </c>
      <c r="D248" t="s">
        <v>860</v>
      </c>
      <c r="F248" t="s">
        <v>182</v>
      </c>
      <c r="G248" t="s">
        <v>861</v>
      </c>
      <c r="H248">
        <v>1.39324693671377E-3</v>
      </c>
      <c r="I248">
        <v>1.22700246391405E-2</v>
      </c>
      <c r="J248">
        <v>7.9568019235744403E-3</v>
      </c>
      <c r="K248" t="s">
        <v>862</v>
      </c>
      <c r="L248">
        <v>4</v>
      </c>
    </row>
    <row r="249" spans="1:12">
      <c r="A249" t="s">
        <v>863</v>
      </c>
      <c r="B249" t="s">
        <v>11</v>
      </c>
      <c r="C249" t="s">
        <v>863</v>
      </c>
      <c r="D249" t="s">
        <v>864</v>
      </c>
      <c r="F249" t="s">
        <v>694</v>
      </c>
      <c r="G249" t="s">
        <v>865</v>
      </c>
      <c r="H249">
        <v>1.40695113789205E-3</v>
      </c>
      <c r="I249">
        <v>1.22700246391405E-2</v>
      </c>
      <c r="J249">
        <v>7.9568019235744403E-3</v>
      </c>
      <c r="K249" t="s">
        <v>797</v>
      </c>
      <c r="L249">
        <v>2</v>
      </c>
    </row>
    <row r="250" spans="1:12">
      <c r="A250" t="s">
        <v>866</v>
      </c>
      <c r="B250" t="s">
        <v>11</v>
      </c>
      <c r="C250" t="s">
        <v>866</v>
      </c>
      <c r="D250" t="s">
        <v>867</v>
      </c>
      <c r="F250" t="s">
        <v>694</v>
      </c>
      <c r="G250" t="s">
        <v>865</v>
      </c>
      <c r="H250">
        <v>1.40695113789205E-3</v>
      </c>
      <c r="I250">
        <v>1.22700246391405E-2</v>
      </c>
      <c r="J250">
        <v>7.9568019235744403E-3</v>
      </c>
      <c r="K250" t="s">
        <v>797</v>
      </c>
      <c r="L250">
        <v>2</v>
      </c>
    </row>
    <row r="251" spans="1:12">
      <c r="A251" t="s">
        <v>868</v>
      </c>
      <c r="B251" t="s">
        <v>11</v>
      </c>
      <c r="C251" t="s">
        <v>868</v>
      </c>
      <c r="D251" t="s">
        <v>869</v>
      </c>
      <c r="F251" t="s">
        <v>694</v>
      </c>
      <c r="G251" t="s">
        <v>865</v>
      </c>
      <c r="H251">
        <v>1.40695113789205E-3</v>
      </c>
      <c r="I251">
        <v>1.22700246391405E-2</v>
      </c>
      <c r="J251">
        <v>7.9568019235744403E-3</v>
      </c>
      <c r="K251" t="s">
        <v>702</v>
      </c>
      <c r="L251">
        <v>2</v>
      </c>
    </row>
    <row r="252" spans="1:12">
      <c r="A252" t="s">
        <v>870</v>
      </c>
      <c r="B252" t="s">
        <v>11</v>
      </c>
      <c r="C252" t="s">
        <v>870</v>
      </c>
      <c r="D252" t="s">
        <v>871</v>
      </c>
      <c r="F252" t="s">
        <v>694</v>
      </c>
      <c r="G252" t="s">
        <v>865</v>
      </c>
      <c r="H252">
        <v>1.40695113789205E-3</v>
      </c>
      <c r="I252">
        <v>1.22700246391405E-2</v>
      </c>
      <c r="J252">
        <v>7.9568019235744403E-3</v>
      </c>
      <c r="K252" t="s">
        <v>752</v>
      </c>
      <c r="L252">
        <v>2</v>
      </c>
    </row>
    <row r="253" spans="1:12">
      <c r="A253" t="s">
        <v>872</v>
      </c>
      <c r="B253" t="s">
        <v>11</v>
      </c>
      <c r="C253" t="s">
        <v>872</v>
      </c>
      <c r="D253" t="s">
        <v>873</v>
      </c>
      <c r="F253" t="s">
        <v>312</v>
      </c>
      <c r="G253" t="s">
        <v>874</v>
      </c>
      <c r="H253">
        <v>1.4099617916385799E-3</v>
      </c>
      <c r="I253">
        <v>1.22700246391405E-2</v>
      </c>
      <c r="J253">
        <v>7.9568019235744403E-3</v>
      </c>
      <c r="K253" t="s">
        <v>875</v>
      </c>
      <c r="L253">
        <v>3</v>
      </c>
    </row>
    <row r="254" spans="1:12">
      <c r="A254" t="s">
        <v>876</v>
      </c>
      <c r="B254" t="s">
        <v>11</v>
      </c>
      <c r="C254" t="s">
        <v>876</v>
      </c>
      <c r="D254" t="s">
        <v>877</v>
      </c>
      <c r="F254" t="s">
        <v>119</v>
      </c>
      <c r="G254" t="s">
        <v>878</v>
      </c>
      <c r="H254">
        <v>1.4487811974390999E-3</v>
      </c>
      <c r="I254">
        <v>1.25580125137705E-2</v>
      </c>
      <c r="J254">
        <v>8.1435548064914699E-3</v>
      </c>
      <c r="K254" t="s">
        <v>583</v>
      </c>
      <c r="L254">
        <v>6</v>
      </c>
    </row>
    <row r="255" spans="1:12">
      <c r="A255" t="s">
        <v>879</v>
      </c>
      <c r="B255" t="s">
        <v>11</v>
      </c>
      <c r="C255" t="s">
        <v>879</v>
      </c>
      <c r="D255" t="s">
        <v>880</v>
      </c>
      <c r="F255" t="s">
        <v>114</v>
      </c>
      <c r="G255" t="s">
        <v>881</v>
      </c>
      <c r="H255">
        <v>1.4674174493992699E-3</v>
      </c>
      <c r="I255">
        <v>1.2669474277687401E-2</v>
      </c>
      <c r="J255">
        <v>8.2158349529150802E-3</v>
      </c>
      <c r="K255" t="s">
        <v>882</v>
      </c>
      <c r="L255">
        <v>7</v>
      </c>
    </row>
    <row r="256" spans="1:12">
      <c r="A256" t="s">
        <v>883</v>
      </c>
      <c r="B256" t="s">
        <v>11</v>
      </c>
      <c r="C256" t="s">
        <v>883</v>
      </c>
      <c r="D256" t="s">
        <v>884</v>
      </c>
      <c r="F256" t="s">
        <v>129</v>
      </c>
      <c r="G256" t="s">
        <v>885</v>
      </c>
      <c r="H256">
        <v>1.4762272158839599E-3</v>
      </c>
      <c r="I256">
        <v>1.2695554056602E-2</v>
      </c>
      <c r="J256">
        <v>8.2327470326490296E-3</v>
      </c>
      <c r="K256" t="s">
        <v>886</v>
      </c>
      <c r="L256">
        <v>5</v>
      </c>
    </row>
    <row r="257" spans="1:12">
      <c r="A257" t="s">
        <v>887</v>
      </c>
      <c r="B257" t="s">
        <v>11</v>
      </c>
      <c r="C257" t="s">
        <v>887</v>
      </c>
      <c r="D257" t="s">
        <v>888</v>
      </c>
      <c r="F257" t="s">
        <v>312</v>
      </c>
      <c r="G257" t="s">
        <v>432</v>
      </c>
      <c r="H257">
        <v>1.4854902510768699E-3</v>
      </c>
      <c r="I257">
        <v>1.2725312971139E-2</v>
      </c>
      <c r="J257">
        <v>8.2520449391646801E-3</v>
      </c>
      <c r="K257" t="s">
        <v>314</v>
      </c>
      <c r="L257">
        <v>3</v>
      </c>
    </row>
    <row r="258" spans="1:12">
      <c r="A258" t="s">
        <v>889</v>
      </c>
      <c r="B258" t="s">
        <v>11</v>
      </c>
      <c r="C258" t="s">
        <v>889</v>
      </c>
      <c r="D258" t="s">
        <v>890</v>
      </c>
      <c r="F258" t="s">
        <v>114</v>
      </c>
      <c r="G258" t="s">
        <v>556</v>
      </c>
      <c r="H258">
        <v>1.5078881088674901E-3</v>
      </c>
      <c r="I258">
        <v>1.2866920711075499E-2</v>
      </c>
      <c r="J258">
        <v>8.3438739917263208E-3</v>
      </c>
      <c r="K258" t="s">
        <v>891</v>
      </c>
      <c r="L258">
        <v>7</v>
      </c>
    </row>
    <row r="259" spans="1:12">
      <c r="A259" t="s">
        <v>892</v>
      </c>
      <c r="B259" t="s">
        <v>11</v>
      </c>
      <c r="C259" t="s">
        <v>892</v>
      </c>
      <c r="D259" t="s">
        <v>893</v>
      </c>
      <c r="F259" t="s">
        <v>182</v>
      </c>
      <c r="G259" t="s">
        <v>479</v>
      </c>
      <c r="H259">
        <v>1.52590831384313E-3</v>
      </c>
      <c r="I259">
        <v>1.29702206676666E-2</v>
      </c>
      <c r="J259">
        <v>8.4108614116771702E-3</v>
      </c>
      <c r="K259" t="s">
        <v>894</v>
      </c>
      <c r="L259">
        <v>4</v>
      </c>
    </row>
    <row r="260" spans="1:12">
      <c r="A260" t="s">
        <v>895</v>
      </c>
      <c r="B260" t="s">
        <v>11</v>
      </c>
      <c r="C260" t="s">
        <v>895</v>
      </c>
      <c r="D260" t="s">
        <v>896</v>
      </c>
      <c r="F260" t="s">
        <v>119</v>
      </c>
      <c r="G260" t="s">
        <v>897</v>
      </c>
      <c r="H260">
        <v>1.5475523926760399E-3</v>
      </c>
      <c r="I260">
        <v>1.3053009219763699E-2</v>
      </c>
      <c r="J260">
        <v>8.4645477024507202E-3</v>
      </c>
      <c r="K260" t="s">
        <v>898</v>
      </c>
      <c r="L260">
        <v>6</v>
      </c>
    </row>
    <row r="261" spans="1:12">
      <c r="A261" t="s">
        <v>899</v>
      </c>
      <c r="B261" t="s">
        <v>11</v>
      </c>
      <c r="C261" t="s">
        <v>899</v>
      </c>
      <c r="D261" t="s">
        <v>900</v>
      </c>
      <c r="F261" t="s">
        <v>119</v>
      </c>
      <c r="G261" t="s">
        <v>897</v>
      </c>
      <c r="H261">
        <v>1.5475523926760399E-3</v>
      </c>
      <c r="I261">
        <v>1.3053009219763699E-2</v>
      </c>
      <c r="J261">
        <v>8.4645477024507202E-3</v>
      </c>
      <c r="K261" t="s">
        <v>583</v>
      </c>
      <c r="L261">
        <v>6</v>
      </c>
    </row>
    <row r="262" spans="1:12">
      <c r="A262" t="s">
        <v>901</v>
      </c>
      <c r="B262" t="s">
        <v>11</v>
      </c>
      <c r="C262" t="s">
        <v>901</v>
      </c>
      <c r="D262" t="s">
        <v>902</v>
      </c>
      <c r="F262" t="s">
        <v>312</v>
      </c>
      <c r="G262" t="s">
        <v>903</v>
      </c>
      <c r="H262">
        <v>1.56351268185934E-3</v>
      </c>
      <c r="I262">
        <v>1.31371008096457E-2</v>
      </c>
      <c r="J262">
        <v>8.5190789804072097E-3</v>
      </c>
      <c r="K262" t="s">
        <v>672</v>
      </c>
      <c r="L262">
        <v>3</v>
      </c>
    </row>
    <row r="263" spans="1:12">
      <c r="A263" t="s">
        <v>904</v>
      </c>
      <c r="B263" t="s">
        <v>11</v>
      </c>
      <c r="C263" t="s">
        <v>904</v>
      </c>
      <c r="D263" t="s">
        <v>905</v>
      </c>
      <c r="F263" t="s">
        <v>129</v>
      </c>
      <c r="G263" t="s">
        <v>906</v>
      </c>
      <c r="H263">
        <v>1.6059348994371099E-3</v>
      </c>
      <c r="I263">
        <v>1.3399499825223499E-2</v>
      </c>
      <c r="J263">
        <v>8.6892381327558499E-3</v>
      </c>
      <c r="K263" t="s">
        <v>907</v>
      </c>
      <c r="L263">
        <v>5</v>
      </c>
    </row>
    <row r="264" spans="1:12">
      <c r="A264" t="s">
        <v>908</v>
      </c>
      <c r="B264" t="s">
        <v>11</v>
      </c>
      <c r="C264" t="s">
        <v>908</v>
      </c>
      <c r="D264" t="s">
        <v>909</v>
      </c>
      <c r="F264" t="s">
        <v>694</v>
      </c>
      <c r="G264" t="s">
        <v>910</v>
      </c>
      <c r="H264">
        <v>1.6191826054191599E-3</v>
      </c>
      <c r="I264">
        <v>1.3399499825223499E-2</v>
      </c>
      <c r="J264">
        <v>8.6892381327558499E-3</v>
      </c>
      <c r="K264" t="s">
        <v>749</v>
      </c>
      <c r="L264">
        <v>2</v>
      </c>
    </row>
    <row r="265" spans="1:12">
      <c r="A265" t="s">
        <v>911</v>
      </c>
      <c r="B265" t="s">
        <v>11</v>
      </c>
      <c r="C265" t="s">
        <v>911</v>
      </c>
      <c r="D265" t="s">
        <v>912</v>
      </c>
      <c r="F265" t="s">
        <v>694</v>
      </c>
      <c r="G265" t="s">
        <v>910</v>
      </c>
      <c r="H265">
        <v>1.6191826054191599E-3</v>
      </c>
      <c r="I265">
        <v>1.3399499825223499E-2</v>
      </c>
      <c r="J265">
        <v>8.6892381327558499E-3</v>
      </c>
      <c r="K265" t="s">
        <v>913</v>
      </c>
      <c r="L265">
        <v>2</v>
      </c>
    </row>
    <row r="266" spans="1:12">
      <c r="A266" t="s">
        <v>914</v>
      </c>
      <c r="B266" t="s">
        <v>11</v>
      </c>
      <c r="C266" t="s">
        <v>914</v>
      </c>
      <c r="D266" t="s">
        <v>915</v>
      </c>
      <c r="F266" t="s">
        <v>694</v>
      </c>
      <c r="G266" t="s">
        <v>910</v>
      </c>
      <c r="H266">
        <v>1.6191826054191599E-3</v>
      </c>
      <c r="I266">
        <v>1.3399499825223499E-2</v>
      </c>
      <c r="J266">
        <v>8.6892381327558499E-3</v>
      </c>
      <c r="K266" t="s">
        <v>794</v>
      </c>
      <c r="L266">
        <v>2</v>
      </c>
    </row>
    <row r="267" spans="1:12">
      <c r="A267" t="s">
        <v>916</v>
      </c>
      <c r="B267" t="s">
        <v>11</v>
      </c>
      <c r="C267" t="s">
        <v>916</v>
      </c>
      <c r="D267" t="s">
        <v>917</v>
      </c>
      <c r="F267" t="s">
        <v>129</v>
      </c>
      <c r="G267" t="s">
        <v>918</v>
      </c>
      <c r="H267">
        <v>1.6396317492697501E-3</v>
      </c>
      <c r="I267">
        <v>1.34530655491823E-2</v>
      </c>
      <c r="J267">
        <v>8.7239741555404701E-3</v>
      </c>
      <c r="K267" t="s">
        <v>919</v>
      </c>
      <c r="L267">
        <v>5</v>
      </c>
    </row>
    <row r="268" spans="1:12">
      <c r="A268" t="s">
        <v>920</v>
      </c>
      <c r="B268" t="s">
        <v>11</v>
      </c>
      <c r="C268" t="s">
        <v>920</v>
      </c>
      <c r="D268" t="s">
        <v>921</v>
      </c>
      <c r="F268" t="s">
        <v>312</v>
      </c>
      <c r="G268" t="s">
        <v>449</v>
      </c>
      <c r="H268">
        <v>1.6440590821618099E-3</v>
      </c>
      <c r="I268">
        <v>1.34530655491823E-2</v>
      </c>
      <c r="J268">
        <v>8.7239741555404701E-3</v>
      </c>
      <c r="K268" t="s">
        <v>922</v>
      </c>
      <c r="L268">
        <v>3</v>
      </c>
    </row>
    <row r="269" spans="1:12">
      <c r="A269" t="s">
        <v>923</v>
      </c>
      <c r="B269" t="s">
        <v>11</v>
      </c>
      <c r="C269" t="s">
        <v>923</v>
      </c>
      <c r="D269" t="s">
        <v>924</v>
      </c>
      <c r="F269" t="s">
        <v>312</v>
      </c>
      <c r="G269" t="s">
        <v>449</v>
      </c>
      <c r="H269">
        <v>1.6440590821618099E-3</v>
      </c>
      <c r="I269">
        <v>1.34530655491823E-2</v>
      </c>
      <c r="J269">
        <v>8.7239741555404701E-3</v>
      </c>
      <c r="K269" t="s">
        <v>472</v>
      </c>
      <c r="L269">
        <v>3</v>
      </c>
    </row>
    <row r="270" spans="1:12">
      <c r="A270" t="s">
        <v>925</v>
      </c>
      <c r="B270" t="s">
        <v>11</v>
      </c>
      <c r="C270" t="s">
        <v>925</v>
      </c>
      <c r="D270" t="s">
        <v>926</v>
      </c>
      <c r="F270" t="s">
        <v>114</v>
      </c>
      <c r="G270" t="s">
        <v>927</v>
      </c>
      <c r="H270">
        <v>1.6564575349498E-3</v>
      </c>
      <c r="I270">
        <v>1.3504131502397401E-2</v>
      </c>
      <c r="J270">
        <v>8.7570891399615606E-3</v>
      </c>
      <c r="K270" t="s">
        <v>928</v>
      </c>
      <c r="L270">
        <v>7</v>
      </c>
    </row>
    <row r="271" spans="1:12">
      <c r="A271" t="s">
        <v>929</v>
      </c>
      <c r="B271" t="s">
        <v>11</v>
      </c>
      <c r="C271" t="s">
        <v>929</v>
      </c>
      <c r="D271" t="s">
        <v>930</v>
      </c>
      <c r="F271" t="s">
        <v>114</v>
      </c>
      <c r="G271" t="s">
        <v>931</v>
      </c>
      <c r="H271">
        <v>1.6785822656733801E-3</v>
      </c>
      <c r="I271">
        <v>1.3633818180080399E-2</v>
      </c>
      <c r="J271">
        <v>8.8411876839170796E-3</v>
      </c>
      <c r="K271" t="s">
        <v>932</v>
      </c>
      <c r="L271">
        <v>7</v>
      </c>
    </row>
    <row r="272" spans="1:12">
      <c r="A272" t="s">
        <v>933</v>
      </c>
      <c r="B272" t="s">
        <v>11</v>
      </c>
      <c r="C272" t="s">
        <v>933</v>
      </c>
      <c r="D272" t="s">
        <v>934</v>
      </c>
      <c r="F272" t="s">
        <v>312</v>
      </c>
      <c r="G272" t="s">
        <v>272</v>
      </c>
      <c r="H272">
        <v>1.72715898317357E-3</v>
      </c>
      <c r="I272">
        <v>1.39252193018369E-2</v>
      </c>
      <c r="J272">
        <v>9.0301539716234006E-3</v>
      </c>
      <c r="K272" t="s">
        <v>935</v>
      </c>
      <c r="L272">
        <v>3</v>
      </c>
    </row>
    <row r="273" spans="1:12">
      <c r="A273" t="s">
        <v>936</v>
      </c>
      <c r="B273" t="s">
        <v>11</v>
      </c>
      <c r="C273" t="s">
        <v>936</v>
      </c>
      <c r="D273" t="s">
        <v>937</v>
      </c>
      <c r="F273" t="s">
        <v>312</v>
      </c>
      <c r="G273" t="s">
        <v>272</v>
      </c>
      <c r="H273">
        <v>1.72715898317357E-3</v>
      </c>
      <c r="I273">
        <v>1.39252193018369E-2</v>
      </c>
      <c r="J273">
        <v>9.0301539716234006E-3</v>
      </c>
      <c r="K273" t="s">
        <v>724</v>
      </c>
      <c r="L273">
        <v>3</v>
      </c>
    </row>
    <row r="274" spans="1:12">
      <c r="A274" t="s">
        <v>938</v>
      </c>
      <c r="B274" t="s">
        <v>11</v>
      </c>
      <c r="C274" t="s">
        <v>938</v>
      </c>
      <c r="D274" t="s">
        <v>939</v>
      </c>
      <c r="F274" t="s">
        <v>119</v>
      </c>
      <c r="G274" t="s">
        <v>56</v>
      </c>
      <c r="H274">
        <v>1.7885408494714399E-3</v>
      </c>
      <c r="I274">
        <v>1.43480555116881E-2</v>
      </c>
      <c r="J274">
        <v>9.3043526033986593E-3</v>
      </c>
      <c r="K274" t="s">
        <v>940</v>
      </c>
      <c r="L274">
        <v>6</v>
      </c>
    </row>
    <row r="275" spans="1:12">
      <c r="A275" t="s">
        <v>941</v>
      </c>
      <c r="B275" t="s">
        <v>11</v>
      </c>
      <c r="C275" t="s">
        <v>941</v>
      </c>
      <c r="D275" t="s">
        <v>942</v>
      </c>
      <c r="F275" t="s">
        <v>114</v>
      </c>
      <c r="G275" t="s">
        <v>943</v>
      </c>
      <c r="H275">
        <v>1.7926891063395E-3</v>
      </c>
      <c r="I275">
        <v>1.43480555116881E-2</v>
      </c>
      <c r="J275">
        <v>9.3043526033986593E-3</v>
      </c>
      <c r="K275" t="s">
        <v>944</v>
      </c>
      <c r="L275">
        <v>7</v>
      </c>
    </row>
    <row r="276" spans="1:12">
      <c r="A276" t="s">
        <v>945</v>
      </c>
      <c r="B276" t="s">
        <v>11</v>
      </c>
      <c r="C276" t="s">
        <v>945</v>
      </c>
      <c r="D276" t="s">
        <v>946</v>
      </c>
      <c r="F276" t="s">
        <v>312</v>
      </c>
      <c r="G276" t="s">
        <v>947</v>
      </c>
      <c r="H276">
        <v>1.81284145297325E-3</v>
      </c>
      <c r="I276">
        <v>1.44565865686194E-2</v>
      </c>
      <c r="J276">
        <v>9.3747322601602495E-3</v>
      </c>
      <c r="K276" t="s">
        <v>948</v>
      </c>
      <c r="L276">
        <v>3</v>
      </c>
    </row>
    <row r="277" spans="1:12">
      <c r="A277" t="s">
        <v>949</v>
      </c>
      <c r="B277" t="s">
        <v>11</v>
      </c>
      <c r="C277" t="s">
        <v>949</v>
      </c>
      <c r="D277" t="s">
        <v>950</v>
      </c>
      <c r="F277" t="s">
        <v>694</v>
      </c>
      <c r="G277" t="s">
        <v>951</v>
      </c>
      <c r="H277">
        <v>1.8456825844338999E-3</v>
      </c>
      <c r="I277">
        <v>1.4508109763942E-2</v>
      </c>
      <c r="J277">
        <v>9.4081437545710904E-3</v>
      </c>
      <c r="K277" t="s">
        <v>952</v>
      </c>
      <c r="L277">
        <v>2</v>
      </c>
    </row>
    <row r="278" spans="1:12">
      <c r="A278" t="s">
        <v>953</v>
      </c>
      <c r="B278" t="s">
        <v>11</v>
      </c>
      <c r="C278" t="s">
        <v>953</v>
      </c>
      <c r="D278" t="s">
        <v>954</v>
      </c>
      <c r="F278" t="s">
        <v>694</v>
      </c>
      <c r="G278" t="s">
        <v>951</v>
      </c>
      <c r="H278">
        <v>1.8456825844338999E-3</v>
      </c>
      <c r="I278">
        <v>1.4508109763942E-2</v>
      </c>
      <c r="J278">
        <v>9.4081437545710904E-3</v>
      </c>
      <c r="K278" t="s">
        <v>955</v>
      </c>
      <c r="L278">
        <v>2</v>
      </c>
    </row>
    <row r="279" spans="1:12">
      <c r="A279" t="s">
        <v>956</v>
      </c>
      <c r="B279" t="s">
        <v>11</v>
      </c>
      <c r="C279" t="s">
        <v>956</v>
      </c>
      <c r="D279" t="s">
        <v>957</v>
      </c>
      <c r="F279" t="s">
        <v>694</v>
      </c>
      <c r="G279" t="s">
        <v>951</v>
      </c>
      <c r="H279">
        <v>1.8456825844338999E-3</v>
      </c>
      <c r="I279">
        <v>1.4508109763942E-2</v>
      </c>
      <c r="J279">
        <v>9.4081437545710904E-3</v>
      </c>
      <c r="K279" t="s">
        <v>958</v>
      </c>
      <c r="L279">
        <v>2</v>
      </c>
    </row>
    <row r="280" spans="1:12">
      <c r="A280" t="s">
        <v>959</v>
      </c>
      <c r="B280" t="s">
        <v>11</v>
      </c>
      <c r="C280" t="s">
        <v>959</v>
      </c>
      <c r="D280" t="s">
        <v>960</v>
      </c>
      <c r="F280" t="s">
        <v>119</v>
      </c>
      <c r="G280" t="s">
        <v>961</v>
      </c>
      <c r="H280">
        <v>1.8457649904878399E-3</v>
      </c>
      <c r="I280">
        <v>1.4508109763942E-2</v>
      </c>
      <c r="J280">
        <v>9.4081437545710904E-3</v>
      </c>
      <c r="K280" t="s">
        <v>962</v>
      </c>
      <c r="L280">
        <v>6</v>
      </c>
    </row>
    <row r="281" spans="1:12">
      <c r="A281" t="s">
        <v>963</v>
      </c>
      <c r="B281" t="s">
        <v>11</v>
      </c>
      <c r="C281" t="s">
        <v>963</v>
      </c>
      <c r="D281" t="s">
        <v>964</v>
      </c>
      <c r="F281" t="s">
        <v>119</v>
      </c>
      <c r="G281" t="s">
        <v>965</v>
      </c>
      <c r="H281">
        <v>1.8748936525957E-3</v>
      </c>
      <c r="I281">
        <v>1.46844349290799E-2</v>
      </c>
      <c r="J281">
        <v>9.5224861829202798E-3</v>
      </c>
      <c r="K281" t="s">
        <v>966</v>
      </c>
      <c r="L281">
        <v>6</v>
      </c>
    </row>
    <row r="282" spans="1:12">
      <c r="A282" t="s">
        <v>967</v>
      </c>
      <c r="B282" t="s">
        <v>11</v>
      </c>
      <c r="C282" t="s">
        <v>967</v>
      </c>
      <c r="D282" t="s">
        <v>968</v>
      </c>
      <c r="F282" t="s">
        <v>312</v>
      </c>
      <c r="G282" t="s">
        <v>969</v>
      </c>
      <c r="H282">
        <v>1.90113510037951E-3</v>
      </c>
      <c r="I282">
        <v>1.48369725093675E-2</v>
      </c>
      <c r="J282">
        <v>9.6214029616509197E-3</v>
      </c>
      <c r="K282" t="s">
        <v>476</v>
      </c>
      <c r="L282">
        <v>3</v>
      </c>
    </row>
    <row r="283" spans="1:12">
      <c r="A283" t="s">
        <v>970</v>
      </c>
      <c r="B283" t="s">
        <v>11</v>
      </c>
      <c r="C283" t="s">
        <v>970</v>
      </c>
      <c r="D283" t="s">
        <v>971</v>
      </c>
      <c r="F283" t="s">
        <v>119</v>
      </c>
      <c r="G283" t="s">
        <v>972</v>
      </c>
      <c r="H283">
        <v>1.934197598195E-3</v>
      </c>
      <c r="I283">
        <v>1.5041472811495199E-2</v>
      </c>
      <c r="J283">
        <v>9.7540162566683401E-3</v>
      </c>
      <c r="K283" t="s">
        <v>973</v>
      </c>
      <c r="L283">
        <v>6</v>
      </c>
    </row>
    <row r="284" spans="1:12">
      <c r="A284" t="s">
        <v>974</v>
      </c>
      <c r="B284" t="s">
        <v>11</v>
      </c>
      <c r="C284" t="s">
        <v>974</v>
      </c>
      <c r="D284" t="s">
        <v>975</v>
      </c>
      <c r="F284" t="s">
        <v>119</v>
      </c>
      <c r="G284" t="s">
        <v>976</v>
      </c>
      <c r="H284">
        <v>1.9643782770397298E-3</v>
      </c>
      <c r="I284">
        <v>1.5222196330558701E-2</v>
      </c>
      <c r="J284">
        <v>9.8712109067534692E-3</v>
      </c>
      <c r="K284" t="s">
        <v>977</v>
      </c>
      <c r="L284">
        <v>6</v>
      </c>
    </row>
    <row r="285" spans="1:12">
      <c r="A285" t="s">
        <v>978</v>
      </c>
      <c r="B285" t="s">
        <v>11</v>
      </c>
      <c r="C285" t="s">
        <v>978</v>
      </c>
      <c r="D285" t="s">
        <v>979</v>
      </c>
      <c r="F285" t="s">
        <v>312</v>
      </c>
      <c r="G285" t="s">
        <v>461</v>
      </c>
      <c r="H285">
        <v>1.9920680787763501E-3</v>
      </c>
      <c r="I285">
        <v>1.53284396377422E-2</v>
      </c>
      <c r="J285">
        <v>9.9401070154269602E-3</v>
      </c>
      <c r="K285" t="s">
        <v>980</v>
      </c>
      <c r="L285">
        <v>3</v>
      </c>
    </row>
    <row r="286" spans="1:12">
      <c r="A286" t="s">
        <v>981</v>
      </c>
      <c r="B286" t="s">
        <v>11</v>
      </c>
      <c r="C286" t="s">
        <v>981</v>
      </c>
      <c r="D286" t="s">
        <v>982</v>
      </c>
      <c r="F286" t="s">
        <v>312</v>
      </c>
      <c r="G286" t="s">
        <v>461</v>
      </c>
      <c r="H286">
        <v>1.9920680787763501E-3</v>
      </c>
      <c r="I286">
        <v>1.53284396377422E-2</v>
      </c>
      <c r="J286">
        <v>9.9401070154269602E-3</v>
      </c>
      <c r="K286" t="s">
        <v>669</v>
      </c>
      <c r="L286">
        <v>3</v>
      </c>
    </row>
    <row r="287" spans="1:12">
      <c r="A287" t="s">
        <v>983</v>
      </c>
      <c r="B287" t="s">
        <v>11</v>
      </c>
      <c r="C287" t="s">
        <v>983</v>
      </c>
      <c r="D287" t="s">
        <v>984</v>
      </c>
      <c r="F287" t="s">
        <v>312</v>
      </c>
      <c r="G287" t="s">
        <v>290</v>
      </c>
      <c r="H287">
        <v>2.0856680899136101E-3</v>
      </c>
      <c r="I287">
        <v>1.55623631596536E-2</v>
      </c>
      <c r="J287">
        <v>1.0091800527367901E-2</v>
      </c>
      <c r="K287" t="s">
        <v>985</v>
      </c>
      <c r="L287">
        <v>3</v>
      </c>
    </row>
    <row r="288" spans="1:12">
      <c r="A288" t="s">
        <v>986</v>
      </c>
      <c r="B288" t="s">
        <v>11</v>
      </c>
      <c r="C288" t="s">
        <v>986</v>
      </c>
      <c r="D288" t="s">
        <v>987</v>
      </c>
      <c r="F288" t="s">
        <v>312</v>
      </c>
      <c r="G288" t="s">
        <v>290</v>
      </c>
      <c r="H288">
        <v>2.0856680899136101E-3</v>
      </c>
      <c r="I288">
        <v>1.55623631596536E-2</v>
      </c>
      <c r="J288">
        <v>1.0091800527367901E-2</v>
      </c>
      <c r="K288" t="s">
        <v>988</v>
      </c>
      <c r="L288">
        <v>3</v>
      </c>
    </row>
    <row r="289" spans="1:12">
      <c r="A289" t="s">
        <v>989</v>
      </c>
      <c r="B289" t="s">
        <v>11</v>
      </c>
      <c r="C289" t="s">
        <v>989</v>
      </c>
      <c r="D289" t="s">
        <v>990</v>
      </c>
      <c r="F289" t="s">
        <v>312</v>
      </c>
      <c r="G289" t="s">
        <v>290</v>
      </c>
      <c r="H289">
        <v>2.0856680899136101E-3</v>
      </c>
      <c r="I289">
        <v>1.55623631596536E-2</v>
      </c>
      <c r="J289">
        <v>1.0091800527367901E-2</v>
      </c>
      <c r="K289" t="s">
        <v>988</v>
      </c>
      <c r="L289">
        <v>3</v>
      </c>
    </row>
    <row r="290" spans="1:12">
      <c r="A290" t="s">
        <v>991</v>
      </c>
      <c r="B290" t="s">
        <v>11</v>
      </c>
      <c r="C290" t="s">
        <v>991</v>
      </c>
      <c r="D290" t="s">
        <v>992</v>
      </c>
      <c r="F290" t="s">
        <v>312</v>
      </c>
      <c r="G290" t="s">
        <v>290</v>
      </c>
      <c r="H290">
        <v>2.0856680899136101E-3</v>
      </c>
      <c r="I290">
        <v>1.55623631596536E-2</v>
      </c>
      <c r="J290">
        <v>1.0091800527367901E-2</v>
      </c>
      <c r="K290" t="s">
        <v>993</v>
      </c>
      <c r="L290">
        <v>3</v>
      </c>
    </row>
    <row r="291" spans="1:12">
      <c r="A291" t="s">
        <v>994</v>
      </c>
      <c r="B291" t="s">
        <v>11</v>
      </c>
      <c r="C291" t="s">
        <v>994</v>
      </c>
      <c r="D291" t="s">
        <v>995</v>
      </c>
      <c r="F291" t="s">
        <v>312</v>
      </c>
      <c r="G291" t="s">
        <v>290</v>
      </c>
      <c r="H291">
        <v>2.0856680899136101E-3</v>
      </c>
      <c r="I291">
        <v>1.55623631596536E-2</v>
      </c>
      <c r="J291">
        <v>1.0091800527367901E-2</v>
      </c>
      <c r="K291" t="s">
        <v>996</v>
      </c>
      <c r="L291">
        <v>3</v>
      </c>
    </row>
    <row r="292" spans="1:12">
      <c r="A292" t="s">
        <v>997</v>
      </c>
      <c r="B292" t="s">
        <v>11</v>
      </c>
      <c r="C292" t="s">
        <v>997</v>
      </c>
      <c r="D292" t="s">
        <v>998</v>
      </c>
      <c r="F292" t="s">
        <v>694</v>
      </c>
      <c r="G292" t="s">
        <v>375</v>
      </c>
      <c r="H292">
        <v>2.0863359639480901E-3</v>
      </c>
      <c r="I292">
        <v>1.55623631596536E-2</v>
      </c>
      <c r="J292">
        <v>1.0091800527367901E-2</v>
      </c>
      <c r="K292" t="s">
        <v>999</v>
      </c>
      <c r="L292">
        <v>2</v>
      </c>
    </row>
    <row r="293" spans="1:12">
      <c r="A293" t="s">
        <v>1000</v>
      </c>
      <c r="B293" t="s">
        <v>11</v>
      </c>
      <c r="C293" t="s">
        <v>1000</v>
      </c>
      <c r="D293" t="s">
        <v>1001</v>
      </c>
      <c r="F293" t="s">
        <v>694</v>
      </c>
      <c r="G293" t="s">
        <v>375</v>
      </c>
      <c r="H293">
        <v>2.0863359639480901E-3</v>
      </c>
      <c r="I293">
        <v>1.55623631596536E-2</v>
      </c>
      <c r="J293">
        <v>1.0091800527367901E-2</v>
      </c>
      <c r="K293" t="s">
        <v>999</v>
      </c>
      <c r="L293">
        <v>2</v>
      </c>
    </row>
    <row r="294" spans="1:12">
      <c r="A294" t="s">
        <v>1002</v>
      </c>
      <c r="B294" t="s">
        <v>11</v>
      </c>
      <c r="C294" t="s">
        <v>1002</v>
      </c>
      <c r="D294" t="s">
        <v>1003</v>
      </c>
      <c r="F294" t="s">
        <v>694</v>
      </c>
      <c r="G294" t="s">
        <v>375</v>
      </c>
      <c r="H294">
        <v>2.0863359639480901E-3</v>
      </c>
      <c r="I294">
        <v>1.55623631596536E-2</v>
      </c>
      <c r="J294">
        <v>1.0091800527367901E-2</v>
      </c>
      <c r="K294" t="s">
        <v>1004</v>
      </c>
      <c r="L294">
        <v>2</v>
      </c>
    </row>
    <row r="295" spans="1:12">
      <c r="A295" t="s">
        <v>1005</v>
      </c>
      <c r="B295" t="s">
        <v>11</v>
      </c>
      <c r="C295" t="s">
        <v>1005</v>
      </c>
      <c r="D295" t="s">
        <v>1006</v>
      </c>
      <c r="F295" t="s">
        <v>694</v>
      </c>
      <c r="G295" t="s">
        <v>375</v>
      </c>
      <c r="H295">
        <v>2.0863359639480901E-3</v>
      </c>
      <c r="I295">
        <v>1.55623631596536E-2</v>
      </c>
      <c r="J295">
        <v>1.0091800527367901E-2</v>
      </c>
      <c r="K295" t="s">
        <v>1007</v>
      </c>
      <c r="L295">
        <v>2</v>
      </c>
    </row>
    <row r="296" spans="1:12">
      <c r="A296" t="s">
        <v>1008</v>
      </c>
      <c r="B296" t="s">
        <v>11</v>
      </c>
      <c r="C296" t="s">
        <v>1008</v>
      </c>
      <c r="D296" t="s">
        <v>1009</v>
      </c>
      <c r="F296" t="s">
        <v>129</v>
      </c>
      <c r="G296" t="s">
        <v>1010</v>
      </c>
      <c r="H296">
        <v>2.2098958854326802E-3</v>
      </c>
      <c r="I296">
        <v>1.64281412771317E-2</v>
      </c>
      <c r="J296">
        <v>1.0653235829507701E-2</v>
      </c>
      <c r="K296" t="s">
        <v>1011</v>
      </c>
      <c r="L296">
        <v>5</v>
      </c>
    </row>
    <row r="297" spans="1:12">
      <c r="A297" t="s">
        <v>1012</v>
      </c>
      <c r="B297" t="s">
        <v>11</v>
      </c>
      <c r="C297" t="s">
        <v>1012</v>
      </c>
      <c r="D297" t="s">
        <v>1013</v>
      </c>
      <c r="F297" t="s">
        <v>182</v>
      </c>
      <c r="G297" t="s">
        <v>1014</v>
      </c>
      <c r="H297">
        <v>2.2628004922242199E-3</v>
      </c>
      <c r="I297">
        <v>1.6764599592728701E-2</v>
      </c>
      <c r="J297">
        <v>1.08714205725282E-2</v>
      </c>
      <c r="K297" t="s">
        <v>790</v>
      </c>
      <c r="L297">
        <v>4</v>
      </c>
    </row>
    <row r="298" spans="1:12">
      <c r="A298" t="s">
        <v>1015</v>
      </c>
      <c r="B298" t="s">
        <v>11</v>
      </c>
      <c r="C298" t="s">
        <v>1015</v>
      </c>
      <c r="D298" t="s">
        <v>1016</v>
      </c>
      <c r="F298" t="s">
        <v>312</v>
      </c>
      <c r="G298" t="s">
        <v>293</v>
      </c>
      <c r="H298">
        <v>2.2809777818659401E-3</v>
      </c>
      <c r="I298">
        <v>1.6842371298424301E-2</v>
      </c>
      <c r="J298">
        <v>1.09218535647737E-2</v>
      </c>
      <c r="K298" t="s">
        <v>669</v>
      </c>
      <c r="L298">
        <v>3</v>
      </c>
    </row>
    <row r="299" spans="1:12">
      <c r="A299" t="s">
        <v>1017</v>
      </c>
      <c r="B299" t="s">
        <v>11</v>
      </c>
      <c r="C299" t="s">
        <v>1017</v>
      </c>
      <c r="D299" t="s">
        <v>1018</v>
      </c>
      <c r="F299" t="s">
        <v>114</v>
      </c>
      <c r="G299" t="s">
        <v>1019</v>
      </c>
      <c r="H299">
        <v>2.3107989613530599E-3</v>
      </c>
      <c r="I299">
        <v>1.6887746962924999E-2</v>
      </c>
      <c r="J299">
        <v>1.0951278540289299E-2</v>
      </c>
      <c r="K299" t="s">
        <v>1020</v>
      </c>
      <c r="L299">
        <v>7</v>
      </c>
    </row>
    <row r="300" spans="1:12">
      <c r="A300" t="s">
        <v>1021</v>
      </c>
      <c r="B300" t="s">
        <v>11</v>
      </c>
      <c r="C300" t="s">
        <v>1021</v>
      </c>
      <c r="D300" t="s">
        <v>1022</v>
      </c>
      <c r="F300" t="s">
        <v>129</v>
      </c>
      <c r="G300" t="s">
        <v>372</v>
      </c>
      <c r="H300">
        <v>2.33936214855643E-3</v>
      </c>
      <c r="I300">
        <v>1.6887746962924999E-2</v>
      </c>
      <c r="J300">
        <v>1.0951278540289299E-2</v>
      </c>
      <c r="K300" t="s">
        <v>1023</v>
      </c>
      <c r="L300">
        <v>5</v>
      </c>
    </row>
    <row r="301" spans="1:12">
      <c r="A301" t="s">
        <v>1024</v>
      </c>
      <c r="B301" t="s">
        <v>11</v>
      </c>
      <c r="C301" t="s">
        <v>1024</v>
      </c>
      <c r="D301" t="s">
        <v>1025</v>
      </c>
      <c r="F301" t="s">
        <v>694</v>
      </c>
      <c r="G301" t="s">
        <v>232</v>
      </c>
      <c r="H301">
        <v>2.3410283067620699E-3</v>
      </c>
      <c r="I301">
        <v>1.6887746962924999E-2</v>
      </c>
      <c r="J301">
        <v>1.0951278540289299E-2</v>
      </c>
      <c r="K301" t="s">
        <v>1026</v>
      </c>
      <c r="L301">
        <v>2</v>
      </c>
    </row>
    <row r="302" spans="1:12">
      <c r="A302" t="s">
        <v>1027</v>
      </c>
      <c r="B302" t="s">
        <v>11</v>
      </c>
      <c r="C302" t="s">
        <v>1027</v>
      </c>
      <c r="D302" t="s">
        <v>1028</v>
      </c>
      <c r="F302" t="s">
        <v>694</v>
      </c>
      <c r="G302" t="s">
        <v>232</v>
      </c>
      <c r="H302">
        <v>2.3410283067620699E-3</v>
      </c>
      <c r="I302">
        <v>1.6887746962924999E-2</v>
      </c>
      <c r="J302">
        <v>1.0951278540289299E-2</v>
      </c>
      <c r="K302" t="s">
        <v>1029</v>
      </c>
      <c r="L302">
        <v>2</v>
      </c>
    </row>
    <row r="303" spans="1:12">
      <c r="A303" t="s">
        <v>1030</v>
      </c>
      <c r="B303" t="s">
        <v>11</v>
      </c>
      <c r="C303" t="s">
        <v>1030</v>
      </c>
      <c r="D303" t="s">
        <v>1031</v>
      </c>
      <c r="F303" t="s">
        <v>694</v>
      </c>
      <c r="G303" t="s">
        <v>232</v>
      </c>
      <c r="H303">
        <v>2.3410283067620699E-3</v>
      </c>
      <c r="I303">
        <v>1.6887746962924999E-2</v>
      </c>
      <c r="J303">
        <v>1.0951278540289299E-2</v>
      </c>
      <c r="K303" t="s">
        <v>797</v>
      </c>
      <c r="L303">
        <v>2</v>
      </c>
    </row>
    <row r="304" spans="1:12">
      <c r="A304" t="s">
        <v>1032</v>
      </c>
      <c r="B304" t="s">
        <v>11</v>
      </c>
      <c r="C304" t="s">
        <v>1032</v>
      </c>
      <c r="D304" t="s">
        <v>1033</v>
      </c>
      <c r="F304" t="s">
        <v>694</v>
      </c>
      <c r="G304" t="s">
        <v>232</v>
      </c>
      <c r="H304">
        <v>2.3410283067620699E-3</v>
      </c>
      <c r="I304">
        <v>1.6887746962924999E-2</v>
      </c>
      <c r="J304">
        <v>1.0951278540289299E-2</v>
      </c>
      <c r="K304" t="s">
        <v>955</v>
      </c>
      <c r="L304">
        <v>2</v>
      </c>
    </row>
    <row r="305" spans="1:12">
      <c r="A305" t="s">
        <v>1034</v>
      </c>
      <c r="B305" t="s">
        <v>11</v>
      </c>
      <c r="C305" t="s">
        <v>1034</v>
      </c>
      <c r="D305" t="s">
        <v>1035</v>
      </c>
      <c r="F305" t="s">
        <v>694</v>
      </c>
      <c r="G305" t="s">
        <v>232</v>
      </c>
      <c r="H305">
        <v>2.3410283067620699E-3</v>
      </c>
      <c r="I305">
        <v>1.6887746962924999E-2</v>
      </c>
      <c r="J305">
        <v>1.0951278540289299E-2</v>
      </c>
      <c r="K305" t="s">
        <v>1029</v>
      </c>
      <c r="L305">
        <v>2</v>
      </c>
    </row>
    <row r="306" spans="1:12">
      <c r="A306" t="s">
        <v>1036</v>
      </c>
      <c r="B306" t="s">
        <v>11</v>
      </c>
      <c r="C306" t="s">
        <v>1036</v>
      </c>
      <c r="D306" t="s">
        <v>1037</v>
      </c>
      <c r="F306" t="s">
        <v>312</v>
      </c>
      <c r="G306" t="s">
        <v>1038</v>
      </c>
      <c r="H306">
        <v>2.3827406418656799E-3</v>
      </c>
      <c r="I306">
        <v>1.7076307933370699E-2</v>
      </c>
      <c r="J306">
        <v>1.10735555801876E-2</v>
      </c>
      <c r="K306" t="s">
        <v>1039</v>
      </c>
      <c r="L306">
        <v>3</v>
      </c>
    </row>
    <row r="307" spans="1:12">
      <c r="A307" t="s">
        <v>1040</v>
      </c>
      <c r="B307" t="s">
        <v>11</v>
      </c>
      <c r="C307" t="s">
        <v>1040</v>
      </c>
      <c r="D307" t="s">
        <v>1041</v>
      </c>
      <c r="F307" t="s">
        <v>312</v>
      </c>
      <c r="G307" t="s">
        <v>1038</v>
      </c>
      <c r="H307">
        <v>2.3827406418656799E-3</v>
      </c>
      <c r="I307">
        <v>1.7076307933370699E-2</v>
      </c>
      <c r="J307">
        <v>1.10735555801876E-2</v>
      </c>
      <c r="K307" t="s">
        <v>1042</v>
      </c>
      <c r="L307">
        <v>3</v>
      </c>
    </row>
    <row r="308" spans="1:12">
      <c r="A308" t="s">
        <v>1043</v>
      </c>
      <c r="B308" t="s">
        <v>11</v>
      </c>
      <c r="C308" t="s">
        <v>1043</v>
      </c>
      <c r="D308" t="s">
        <v>1044</v>
      </c>
      <c r="F308" t="s">
        <v>119</v>
      </c>
      <c r="G308" t="s">
        <v>44</v>
      </c>
      <c r="H308">
        <v>2.4255393587912402E-3</v>
      </c>
      <c r="I308">
        <v>1.7326409817033199E-2</v>
      </c>
      <c r="J308">
        <v>1.12357403522269E-2</v>
      </c>
      <c r="K308" t="s">
        <v>1045</v>
      </c>
      <c r="L308">
        <v>6</v>
      </c>
    </row>
    <row r="309" spans="1:12">
      <c r="A309" t="s">
        <v>1046</v>
      </c>
      <c r="B309" t="s">
        <v>11</v>
      </c>
      <c r="C309" t="s">
        <v>1046</v>
      </c>
      <c r="D309" t="s">
        <v>1047</v>
      </c>
      <c r="F309" t="s">
        <v>114</v>
      </c>
      <c r="G309" t="s">
        <v>1048</v>
      </c>
      <c r="H309">
        <v>2.4568170064363098E-3</v>
      </c>
      <c r="I309">
        <v>1.74928561529702E-2</v>
      </c>
      <c r="J309">
        <v>1.1343676608665299E-2</v>
      </c>
      <c r="K309" t="s">
        <v>928</v>
      </c>
      <c r="L309">
        <v>7</v>
      </c>
    </row>
    <row r="310" spans="1:12">
      <c r="A310" t="s">
        <v>1049</v>
      </c>
      <c r="B310" t="s">
        <v>11</v>
      </c>
      <c r="C310" t="s">
        <v>1049</v>
      </c>
      <c r="D310" t="s">
        <v>1050</v>
      </c>
      <c r="F310" t="s">
        <v>312</v>
      </c>
      <c r="G310" t="s">
        <v>489</v>
      </c>
      <c r="H310">
        <v>2.4872769004029801E-3</v>
      </c>
      <c r="I310">
        <v>1.76524214970347E-2</v>
      </c>
      <c r="J310">
        <v>1.1447150715191401E-2</v>
      </c>
      <c r="K310" t="s">
        <v>1051</v>
      </c>
      <c r="L310">
        <v>3</v>
      </c>
    </row>
    <row r="311" spans="1:12">
      <c r="A311" t="s">
        <v>1052</v>
      </c>
      <c r="B311" t="s">
        <v>11</v>
      </c>
      <c r="C311" t="s">
        <v>1052</v>
      </c>
      <c r="D311" t="s">
        <v>1053</v>
      </c>
      <c r="F311" t="s">
        <v>119</v>
      </c>
      <c r="G311" t="s">
        <v>1054</v>
      </c>
      <c r="H311">
        <v>2.5341632701548198E-3</v>
      </c>
      <c r="I311">
        <v>1.7927161456288799E-2</v>
      </c>
      <c r="J311">
        <v>1.16253126586729E-2</v>
      </c>
      <c r="K311" t="s">
        <v>1055</v>
      </c>
      <c r="L311">
        <v>6</v>
      </c>
    </row>
    <row r="312" spans="1:12">
      <c r="A312" t="s">
        <v>1056</v>
      </c>
      <c r="B312" t="s">
        <v>11</v>
      </c>
      <c r="C312" t="s">
        <v>1056</v>
      </c>
      <c r="D312" t="s">
        <v>1057</v>
      </c>
      <c r="F312" t="s">
        <v>182</v>
      </c>
      <c r="G312" t="s">
        <v>546</v>
      </c>
      <c r="H312">
        <v>2.5766272432934398E-3</v>
      </c>
      <c r="I312">
        <v>1.8110611836484599E-2</v>
      </c>
      <c r="J312">
        <v>1.17442756095187E-2</v>
      </c>
      <c r="K312" t="s">
        <v>1058</v>
      </c>
      <c r="L312">
        <v>4</v>
      </c>
    </row>
    <row r="313" spans="1:12">
      <c r="A313" t="s">
        <v>1059</v>
      </c>
      <c r="B313" t="s">
        <v>11</v>
      </c>
      <c r="C313" t="s">
        <v>1059</v>
      </c>
      <c r="D313" t="s">
        <v>1060</v>
      </c>
      <c r="F313" t="s">
        <v>694</v>
      </c>
      <c r="G313" t="s">
        <v>240</v>
      </c>
      <c r="H313">
        <v>2.6096458460233198E-3</v>
      </c>
      <c r="I313">
        <v>1.8110611836484599E-2</v>
      </c>
      <c r="J313">
        <v>1.17442756095187E-2</v>
      </c>
      <c r="K313" t="s">
        <v>999</v>
      </c>
      <c r="L313">
        <v>2</v>
      </c>
    </row>
    <row r="314" spans="1:12">
      <c r="A314" t="s">
        <v>1061</v>
      </c>
      <c r="B314" t="s">
        <v>11</v>
      </c>
      <c r="C314" t="s">
        <v>1061</v>
      </c>
      <c r="D314" t="s">
        <v>1062</v>
      </c>
      <c r="F314" t="s">
        <v>694</v>
      </c>
      <c r="G314" t="s">
        <v>240</v>
      </c>
      <c r="H314">
        <v>2.6096458460233198E-3</v>
      </c>
      <c r="I314">
        <v>1.8110611836484599E-2</v>
      </c>
      <c r="J314">
        <v>1.17442756095187E-2</v>
      </c>
      <c r="K314" t="s">
        <v>1063</v>
      </c>
      <c r="L314">
        <v>2</v>
      </c>
    </row>
    <row r="315" spans="1:12">
      <c r="A315" t="s">
        <v>1064</v>
      </c>
      <c r="B315" t="s">
        <v>11</v>
      </c>
      <c r="C315" t="s">
        <v>1064</v>
      </c>
      <c r="D315" t="s">
        <v>1065</v>
      </c>
      <c r="F315" t="s">
        <v>694</v>
      </c>
      <c r="G315" t="s">
        <v>240</v>
      </c>
      <c r="H315">
        <v>2.6096458460233198E-3</v>
      </c>
      <c r="I315">
        <v>1.8110611836484599E-2</v>
      </c>
      <c r="J315">
        <v>1.17442756095187E-2</v>
      </c>
      <c r="K315" t="s">
        <v>1066</v>
      </c>
      <c r="L315">
        <v>2</v>
      </c>
    </row>
    <row r="316" spans="1:12">
      <c r="A316" t="s">
        <v>1067</v>
      </c>
      <c r="B316" t="s">
        <v>11</v>
      </c>
      <c r="C316" t="s">
        <v>1067</v>
      </c>
      <c r="D316" t="s">
        <v>1068</v>
      </c>
      <c r="F316" t="s">
        <v>694</v>
      </c>
      <c r="G316" t="s">
        <v>240</v>
      </c>
      <c r="H316">
        <v>2.6096458460233198E-3</v>
      </c>
      <c r="I316">
        <v>1.8110611836484599E-2</v>
      </c>
      <c r="J316">
        <v>1.17442756095187E-2</v>
      </c>
      <c r="K316" t="s">
        <v>702</v>
      </c>
      <c r="L316">
        <v>2</v>
      </c>
    </row>
    <row r="317" spans="1:12">
      <c r="A317" t="s">
        <v>1069</v>
      </c>
      <c r="B317" t="s">
        <v>11</v>
      </c>
      <c r="C317" t="s">
        <v>1069</v>
      </c>
      <c r="D317" t="s">
        <v>1070</v>
      </c>
      <c r="F317" t="s">
        <v>694</v>
      </c>
      <c r="G317" t="s">
        <v>240</v>
      </c>
      <c r="H317">
        <v>2.6096458460233198E-3</v>
      </c>
      <c r="I317">
        <v>1.8110611836484599E-2</v>
      </c>
      <c r="J317">
        <v>1.17442756095187E-2</v>
      </c>
      <c r="K317" t="s">
        <v>699</v>
      </c>
      <c r="L317">
        <v>2</v>
      </c>
    </row>
    <row r="318" spans="1:12">
      <c r="A318" t="s">
        <v>1071</v>
      </c>
      <c r="B318" t="s">
        <v>11</v>
      </c>
      <c r="C318" t="s">
        <v>1071</v>
      </c>
      <c r="D318" t="s">
        <v>1072</v>
      </c>
      <c r="F318" t="s">
        <v>119</v>
      </c>
      <c r="G318" t="s">
        <v>1073</v>
      </c>
      <c r="H318">
        <v>2.6464144575103301E-3</v>
      </c>
      <c r="I318">
        <v>1.8307845127192902E-2</v>
      </c>
      <c r="J318">
        <v>1.18721764306706E-2</v>
      </c>
      <c r="K318" t="s">
        <v>1074</v>
      </c>
      <c r="L318">
        <v>6</v>
      </c>
    </row>
    <row r="319" spans="1:12">
      <c r="A319" t="s">
        <v>1075</v>
      </c>
      <c r="B319" t="s">
        <v>11</v>
      </c>
      <c r="C319" t="s">
        <v>1075</v>
      </c>
      <c r="D319" t="s">
        <v>1076</v>
      </c>
      <c r="F319" t="s">
        <v>312</v>
      </c>
      <c r="G319" t="s">
        <v>502</v>
      </c>
      <c r="H319">
        <v>2.7047711826157302E-3</v>
      </c>
      <c r="I319">
        <v>1.8652714476340499E-2</v>
      </c>
      <c r="J319">
        <v>1.2095815517093199E-2</v>
      </c>
      <c r="K319" t="s">
        <v>628</v>
      </c>
      <c r="L319">
        <v>3</v>
      </c>
    </row>
    <row r="320" spans="1:12">
      <c r="A320" t="s">
        <v>1077</v>
      </c>
      <c r="B320" t="s">
        <v>11</v>
      </c>
      <c r="C320" t="s">
        <v>1077</v>
      </c>
      <c r="D320" t="s">
        <v>1078</v>
      </c>
      <c r="F320" t="s">
        <v>119</v>
      </c>
      <c r="G320" t="s">
        <v>1079</v>
      </c>
      <c r="H320">
        <v>2.7623689495014201E-3</v>
      </c>
      <c r="I320">
        <v>1.8990204094848299E-2</v>
      </c>
      <c r="J320">
        <v>1.2314669034075E-2</v>
      </c>
      <c r="K320" t="s">
        <v>1080</v>
      </c>
      <c r="L320">
        <v>6</v>
      </c>
    </row>
    <row r="321" spans="1:12">
      <c r="A321" t="s">
        <v>1081</v>
      </c>
      <c r="B321" t="s">
        <v>11</v>
      </c>
      <c r="C321" t="s">
        <v>1081</v>
      </c>
      <c r="D321" t="s">
        <v>1082</v>
      </c>
      <c r="F321" t="s">
        <v>114</v>
      </c>
      <c r="G321" t="s">
        <v>1083</v>
      </c>
      <c r="H321">
        <v>2.8031318342193602E-3</v>
      </c>
      <c r="I321">
        <v>1.9190649610035301E-2</v>
      </c>
      <c r="J321">
        <v>1.24446529018925E-2</v>
      </c>
      <c r="K321" t="s">
        <v>1084</v>
      </c>
      <c r="L321">
        <v>7</v>
      </c>
    </row>
    <row r="322" spans="1:12">
      <c r="A322" t="s">
        <v>1085</v>
      </c>
      <c r="B322" t="s">
        <v>11</v>
      </c>
      <c r="C322" t="s">
        <v>1085</v>
      </c>
      <c r="D322" t="s">
        <v>1086</v>
      </c>
      <c r="F322" t="s">
        <v>312</v>
      </c>
      <c r="G322" t="s">
        <v>1087</v>
      </c>
      <c r="H322">
        <v>2.81777892130933E-3</v>
      </c>
      <c r="I322">
        <v>1.9190649610035301E-2</v>
      </c>
      <c r="J322">
        <v>1.24446529018925E-2</v>
      </c>
      <c r="K322" t="s">
        <v>1088</v>
      </c>
      <c r="L322">
        <v>3</v>
      </c>
    </row>
    <row r="323" spans="1:12">
      <c r="A323" t="s">
        <v>1089</v>
      </c>
      <c r="B323" t="s">
        <v>11</v>
      </c>
      <c r="C323" t="s">
        <v>1089</v>
      </c>
      <c r="D323" t="s">
        <v>1090</v>
      </c>
      <c r="F323" t="s">
        <v>312</v>
      </c>
      <c r="G323" t="s">
        <v>1087</v>
      </c>
      <c r="H323">
        <v>2.81777892130933E-3</v>
      </c>
      <c r="I323">
        <v>1.9190649610035301E-2</v>
      </c>
      <c r="J323">
        <v>1.24446529018925E-2</v>
      </c>
      <c r="K323" t="s">
        <v>1091</v>
      </c>
      <c r="L323">
        <v>3</v>
      </c>
    </row>
    <row r="324" spans="1:12">
      <c r="A324" t="s">
        <v>1092</v>
      </c>
      <c r="B324" t="s">
        <v>11</v>
      </c>
      <c r="C324" t="s">
        <v>1092</v>
      </c>
      <c r="D324" t="s">
        <v>1093</v>
      </c>
      <c r="F324" t="s">
        <v>694</v>
      </c>
      <c r="G324" t="s">
        <v>423</v>
      </c>
      <c r="H324">
        <v>2.8920754818013302E-3</v>
      </c>
      <c r="I324">
        <v>1.93954786898787E-2</v>
      </c>
      <c r="J324">
        <v>1.2577479400977301E-2</v>
      </c>
      <c r="K324" t="s">
        <v>1094</v>
      </c>
      <c r="L324">
        <v>2</v>
      </c>
    </row>
    <row r="325" spans="1:12">
      <c r="A325" t="s">
        <v>1095</v>
      </c>
      <c r="B325" t="s">
        <v>11</v>
      </c>
      <c r="C325" t="s">
        <v>1095</v>
      </c>
      <c r="D325" t="s">
        <v>1096</v>
      </c>
      <c r="F325" t="s">
        <v>694</v>
      </c>
      <c r="G325" t="s">
        <v>423</v>
      </c>
      <c r="H325">
        <v>2.8920754818013302E-3</v>
      </c>
      <c r="I325">
        <v>1.93954786898787E-2</v>
      </c>
      <c r="J325">
        <v>1.2577479400977301E-2</v>
      </c>
      <c r="K325" t="s">
        <v>749</v>
      </c>
      <c r="L325">
        <v>2</v>
      </c>
    </row>
    <row r="326" spans="1:12">
      <c r="A326" t="s">
        <v>1097</v>
      </c>
      <c r="B326" t="s">
        <v>11</v>
      </c>
      <c r="C326" t="s">
        <v>1097</v>
      </c>
      <c r="D326" t="s">
        <v>1098</v>
      </c>
      <c r="F326" t="s">
        <v>694</v>
      </c>
      <c r="G326" t="s">
        <v>423</v>
      </c>
      <c r="H326">
        <v>2.8920754818013302E-3</v>
      </c>
      <c r="I326">
        <v>1.93954786898787E-2</v>
      </c>
      <c r="J326">
        <v>1.2577479400977301E-2</v>
      </c>
      <c r="K326" t="s">
        <v>1066</v>
      </c>
      <c r="L326">
        <v>2</v>
      </c>
    </row>
    <row r="327" spans="1:12">
      <c r="A327" t="s">
        <v>1099</v>
      </c>
      <c r="B327" t="s">
        <v>11</v>
      </c>
      <c r="C327" t="s">
        <v>1099</v>
      </c>
      <c r="D327" t="s">
        <v>1100</v>
      </c>
      <c r="F327" t="s">
        <v>694</v>
      </c>
      <c r="G327" t="s">
        <v>423</v>
      </c>
      <c r="H327">
        <v>2.8920754818013302E-3</v>
      </c>
      <c r="I327">
        <v>1.93954786898787E-2</v>
      </c>
      <c r="J327">
        <v>1.2577479400977301E-2</v>
      </c>
      <c r="K327" t="s">
        <v>1101</v>
      </c>
      <c r="L327">
        <v>2</v>
      </c>
    </row>
    <row r="328" spans="1:12">
      <c r="A328" t="s">
        <v>1102</v>
      </c>
      <c r="B328" t="s">
        <v>11</v>
      </c>
      <c r="C328" t="s">
        <v>1102</v>
      </c>
      <c r="D328" t="s">
        <v>1103</v>
      </c>
      <c r="F328" t="s">
        <v>694</v>
      </c>
      <c r="G328" t="s">
        <v>423</v>
      </c>
      <c r="H328">
        <v>2.8920754818013302E-3</v>
      </c>
      <c r="I328">
        <v>1.93954786898787E-2</v>
      </c>
      <c r="J328">
        <v>1.2577479400977301E-2</v>
      </c>
      <c r="K328" t="s">
        <v>705</v>
      </c>
      <c r="L328">
        <v>2</v>
      </c>
    </row>
    <row r="329" spans="1:12">
      <c r="A329" t="s">
        <v>1104</v>
      </c>
      <c r="B329" t="s">
        <v>11</v>
      </c>
      <c r="C329" t="s">
        <v>1104</v>
      </c>
      <c r="D329" t="s">
        <v>1105</v>
      </c>
      <c r="F329" t="s">
        <v>114</v>
      </c>
      <c r="G329" t="s">
        <v>1106</v>
      </c>
      <c r="H329">
        <v>2.9038044230382701E-3</v>
      </c>
      <c r="I329">
        <v>1.9414765547935701E-2</v>
      </c>
      <c r="J329">
        <v>1.25899864426338E-2</v>
      </c>
      <c r="K329" t="s">
        <v>882</v>
      </c>
      <c r="L329">
        <v>7</v>
      </c>
    </row>
    <row r="330" spans="1:12">
      <c r="A330" t="s">
        <v>1107</v>
      </c>
      <c r="B330" t="s">
        <v>11</v>
      </c>
      <c r="C330" t="s">
        <v>1107</v>
      </c>
      <c r="D330" t="s">
        <v>1108</v>
      </c>
      <c r="F330" t="s">
        <v>312</v>
      </c>
      <c r="G330" t="s">
        <v>218</v>
      </c>
      <c r="H330">
        <v>3.1741339532653798E-3</v>
      </c>
      <c r="I330">
        <v>2.0624581349407901E-2</v>
      </c>
      <c r="J330">
        <v>1.3374521517291901E-2</v>
      </c>
      <c r="K330" t="s">
        <v>1109</v>
      </c>
      <c r="L330">
        <v>3</v>
      </c>
    </row>
    <row r="331" spans="1:12">
      <c r="A331" t="s">
        <v>1110</v>
      </c>
      <c r="B331" t="s">
        <v>11</v>
      </c>
      <c r="C331" t="s">
        <v>1110</v>
      </c>
      <c r="D331" t="s">
        <v>1111</v>
      </c>
      <c r="F331" t="s">
        <v>694</v>
      </c>
      <c r="G331" t="s">
        <v>1112</v>
      </c>
      <c r="H331">
        <v>3.1882047776786498E-3</v>
      </c>
      <c r="I331">
        <v>2.0624581349407901E-2</v>
      </c>
      <c r="J331">
        <v>1.3374521517291901E-2</v>
      </c>
      <c r="K331" t="s">
        <v>1113</v>
      </c>
      <c r="L331">
        <v>2</v>
      </c>
    </row>
    <row r="332" spans="1:12">
      <c r="A332" t="s">
        <v>1114</v>
      </c>
      <c r="B332" t="s">
        <v>11</v>
      </c>
      <c r="C332" t="s">
        <v>1114</v>
      </c>
      <c r="D332" t="s">
        <v>1115</v>
      </c>
      <c r="F332" t="s">
        <v>694</v>
      </c>
      <c r="G332" t="s">
        <v>1112</v>
      </c>
      <c r="H332">
        <v>3.1882047776786498E-3</v>
      </c>
      <c r="I332">
        <v>2.0624581349407901E-2</v>
      </c>
      <c r="J332">
        <v>1.3374521517291901E-2</v>
      </c>
      <c r="K332" t="s">
        <v>1116</v>
      </c>
      <c r="L332">
        <v>2</v>
      </c>
    </row>
    <row r="333" spans="1:12">
      <c r="A333" t="s">
        <v>1117</v>
      </c>
      <c r="B333" t="s">
        <v>11</v>
      </c>
      <c r="C333" t="s">
        <v>1117</v>
      </c>
      <c r="D333" t="s">
        <v>1118</v>
      </c>
      <c r="F333" t="s">
        <v>694</v>
      </c>
      <c r="G333" t="s">
        <v>1112</v>
      </c>
      <c r="H333">
        <v>3.1882047776786498E-3</v>
      </c>
      <c r="I333">
        <v>2.0624581349407901E-2</v>
      </c>
      <c r="J333">
        <v>1.3374521517291901E-2</v>
      </c>
      <c r="K333" t="s">
        <v>797</v>
      </c>
      <c r="L333">
        <v>2</v>
      </c>
    </row>
    <row r="334" spans="1:12">
      <c r="A334" t="s">
        <v>1119</v>
      </c>
      <c r="B334" t="s">
        <v>11</v>
      </c>
      <c r="C334" t="s">
        <v>1119</v>
      </c>
      <c r="D334" t="s">
        <v>1120</v>
      </c>
      <c r="F334" t="s">
        <v>694</v>
      </c>
      <c r="G334" t="s">
        <v>1112</v>
      </c>
      <c r="H334">
        <v>3.1882047776786498E-3</v>
      </c>
      <c r="I334">
        <v>2.0624581349407901E-2</v>
      </c>
      <c r="J334">
        <v>1.3374521517291901E-2</v>
      </c>
      <c r="K334" t="s">
        <v>1121</v>
      </c>
      <c r="L334">
        <v>2</v>
      </c>
    </row>
    <row r="335" spans="1:12">
      <c r="A335" t="s">
        <v>1122</v>
      </c>
      <c r="B335" t="s">
        <v>11</v>
      </c>
      <c r="C335" t="s">
        <v>1122</v>
      </c>
      <c r="D335" t="s">
        <v>1123</v>
      </c>
      <c r="F335" t="s">
        <v>694</v>
      </c>
      <c r="G335" t="s">
        <v>1112</v>
      </c>
      <c r="H335">
        <v>3.1882047776786498E-3</v>
      </c>
      <c r="I335">
        <v>2.0624581349407901E-2</v>
      </c>
      <c r="J335">
        <v>1.3374521517291901E-2</v>
      </c>
      <c r="K335" t="s">
        <v>1124</v>
      </c>
      <c r="L335">
        <v>2</v>
      </c>
    </row>
    <row r="336" spans="1:12">
      <c r="A336" t="s">
        <v>1125</v>
      </c>
      <c r="B336" t="s">
        <v>11</v>
      </c>
      <c r="C336" t="s">
        <v>1125</v>
      </c>
      <c r="D336" t="s">
        <v>1126</v>
      </c>
      <c r="F336" t="s">
        <v>694</v>
      </c>
      <c r="G336" t="s">
        <v>1112</v>
      </c>
      <c r="H336">
        <v>3.1882047776786498E-3</v>
      </c>
      <c r="I336">
        <v>2.0624581349407901E-2</v>
      </c>
      <c r="J336">
        <v>1.3374521517291901E-2</v>
      </c>
      <c r="K336" t="s">
        <v>1063</v>
      </c>
      <c r="L336">
        <v>2</v>
      </c>
    </row>
    <row r="337" spans="1:12">
      <c r="A337" t="s">
        <v>1127</v>
      </c>
      <c r="B337" t="s">
        <v>11</v>
      </c>
      <c r="C337" t="s">
        <v>1127</v>
      </c>
      <c r="D337" t="s">
        <v>1128</v>
      </c>
      <c r="F337" t="s">
        <v>694</v>
      </c>
      <c r="G337" t="s">
        <v>1112</v>
      </c>
      <c r="H337">
        <v>3.1882047776786498E-3</v>
      </c>
      <c r="I337">
        <v>2.0624581349407901E-2</v>
      </c>
      <c r="J337">
        <v>1.3374521517291901E-2</v>
      </c>
      <c r="K337" t="s">
        <v>1129</v>
      </c>
      <c r="L337">
        <v>2</v>
      </c>
    </row>
    <row r="338" spans="1:12">
      <c r="A338" t="s">
        <v>1130</v>
      </c>
      <c r="B338" t="s">
        <v>11</v>
      </c>
      <c r="C338" t="s">
        <v>1130</v>
      </c>
      <c r="D338" t="s">
        <v>1131</v>
      </c>
      <c r="F338" t="s">
        <v>694</v>
      </c>
      <c r="G338" t="s">
        <v>1112</v>
      </c>
      <c r="H338">
        <v>3.1882047776786498E-3</v>
      </c>
      <c r="I338">
        <v>2.0624581349407901E-2</v>
      </c>
      <c r="J338">
        <v>1.3374521517291901E-2</v>
      </c>
      <c r="K338" t="s">
        <v>1132</v>
      </c>
      <c r="L338">
        <v>2</v>
      </c>
    </row>
    <row r="339" spans="1:12">
      <c r="A339" t="s">
        <v>1133</v>
      </c>
      <c r="B339" t="s">
        <v>11</v>
      </c>
      <c r="C339" t="s">
        <v>1133</v>
      </c>
      <c r="D339" t="s">
        <v>1134</v>
      </c>
      <c r="F339" t="s">
        <v>694</v>
      </c>
      <c r="G339" t="s">
        <v>1112</v>
      </c>
      <c r="H339">
        <v>3.1882047776786498E-3</v>
      </c>
      <c r="I339">
        <v>2.0624581349407901E-2</v>
      </c>
      <c r="J339">
        <v>1.3374521517291901E-2</v>
      </c>
      <c r="K339" t="s">
        <v>702</v>
      </c>
      <c r="L339">
        <v>2</v>
      </c>
    </row>
    <row r="340" spans="1:12">
      <c r="A340" t="s">
        <v>1135</v>
      </c>
      <c r="B340" t="s">
        <v>11</v>
      </c>
      <c r="C340" t="s">
        <v>1135</v>
      </c>
      <c r="D340" t="s">
        <v>1136</v>
      </c>
      <c r="F340" t="s">
        <v>694</v>
      </c>
      <c r="G340" t="s">
        <v>1112</v>
      </c>
      <c r="H340">
        <v>3.1882047776786498E-3</v>
      </c>
      <c r="I340">
        <v>2.0624581349407901E-2</v>
      </c>
      <c r="J340">
        <v>1.3374521517291901E-2</v>
      </c>
      <c r="K340" t="s">
        <v>1137</v>
      </c>
      <c r="L340">
        <v>2</v>
      </c>
    </row>
    <row r="341" spans="1:12">
      <c r="A341" t="s">
        <v>1138</v>
      </c>
      <c r="B341" t="s">
        <v>11</v>
      </c>
      <c r="C341" t="s">
        <v>1138</v>
      </c>
      <c r="D341" t="s">
        <v>1139</v>
      </c>
      <c r="F341" t="s">
        <v>114</v>
      </c>
      <c r="G341" t="s">
        <v>1140</v>
      </c>
      <c r="H341">
        <v>3.25959165126752E-3</v>
      </c>
      <c r="I341">
        <v>2.1024366150675499E-2</v>
      </c>
      <c r="J341">
        <v>1.36337718912149E-2</v>
      </c>
      <c r="K341" t="s">
        <v>1141</v>
      </c>
      <c r="L341">
        <v>7</v>
      </c>
    </row>
    <row r="342" spans="1:12">
      <c r="A342" t="s">
        <v>1142</v>
      </c>
      <c r="B342" t="s">
        <v>11</v>
      </c>
      <c r="C342" t="s">
        <v>1142</v>
      </c>
      <c r="D342" t="s">
        <v>1143</v>
      </c>
      <c r="F342" t="s">
        <v>312</v>
      </c>
      <c r="G342" t="s">
        <v>1144</v>
      </c>
      <c r="H342">
        <v>3.29877420282526E-3</v>
      </c>
      <c r="I342">
        <v>2.1214697439283801E-2</v>
      </c>
      <c r="J342">
        <v>1.3757196937851299E-2</v>
      </c>
      <c r="K342" t="s">
        <v>1145</v>
      </c>
      <c r="L342">
        <v>3</v>
      </c>
    </row>
    <row r="343" spans="1:12">
      <c r="A343" t="s">
        <v>1146</v>
      </c>
      <c r="B343" t="s">
        <v>11</v>
      </c>
      <c r="C343" t="s">
        <v>1146</v>
      </c>
      <c r="D343" t="s">
        <v>1147</v>
      </c>
      <c r="F343" t="s">
        <v>312</v>
      </c>
      <c r="G343" t="s">
        <v>1148</v>
      </c>
      <c r="H343">
        <v>3.4263800284541099E-3</v>
      </c>
      <c r="I343">
        <v>2.17924512854712E-2</v>
      </c>
      <c r="J343">
        <v>1.41318557547563E-2</v>
      </c>
      <c r="K343" t="s">
        <v>567</v>
      </c>
      <c r="L343">
        <v>3</v>
      </c>
    </row>
    <row r="344" spans="1:12">
      <c r="A344" t="s">
        <v>1149</v>
      </c>
      <c r="B344" t="s">
        <v>11</v>
      </c>
      <c r="C344" t="s">
        <v>1149</v>
      </c>
      <c r="D344" t="s">
        <v>1150</v>
      </c>
      <c r="F344" t="s">
        <v>312</v>
      </c>
      <c r="G344" t="s">
        <v>1148</v>
      </c>
      <c r="H344">
        <v>3.4263800284541099E-3</v>
      </c>
      <c r="I344">
        <v>2.17924512854712E-2</v>
      </c>
      <c r="J344">
        <v>1.41318557547563E-2</v>
      </c>
      <c r="K344" t="s">
        <v>642</v>
      </c>
      <c r="L344">
        <v>3</v>
      </c>
    </row>
    <row r="345" spans="1:12">
      <c r="A345" t="s">
        <v>1151</v>
      </c>
      <c r="B345" t="s">
        <v>11</v>
      </c>
      <c r="C345" t="s">
        <v>1151</v>
      </c>
      <c r="D345" t="s">
        <v>1152</v>
      </c>
      <c r="F345" t="s">
        <v>182</v>
      </c>
      <c r="G345" t="s">
        <v>110</v>
      </c>
      <c r="H345">
        <v>3.4493303970731101E-3</v>
      </c>
      <c r="I345">
        <v>2.17924512854712E-2</v>
      </c>
      <c r="J345">
        <v>1.41318557547563E-2</v>
      </c>
      <c r="K345" t="s">
        <v>608</v>
      </c>
      <c r="L345">
        <v>4</v>
      </c>
    </row>
    <row r="346" spans="1:12">
      <c r="A346" t="s">
        <v>1153</v>
      </c>
      <c r="B346" t="s">
        <v>11</v>
      </c>
      <c r="C346" t="s">
        <v>1153</v>
      </c>
      <c r="D346" t="s">
        <v>1154</v>
      </c>
      <c r="F346" t="s">
        <v>182</v>
      </c>
      <c r="G346" t="s">
        <v>110</v>
      </c>
      <c r="H346">
        <v>3.4493303970731101E-3</v>
      </c>
      <c r="I346">
        <v>2.17924512854712E-2</v>
      </c>
      <c r="J346">
        <v>1.41318557547563E-2</v>
      </c>
      <c r="K346" t="s">
        <v>1155</v>
      </c>
      <c r="L346">
        <v>4</v>
      </c>
    </row>
    <row r="347" spans="1:12">
      <c r="A347" t="s">
        <v>1156</v>
      </c>
      <c r="B347" t="s">
        <v>11</v>
      </c>
      <c r="C347" t="s">
        <v>1156</v>
      </c>
      <c r="D347" t="s">
        <v>1157</v>
      </c>
      <c r="F347" t="s">
        <v>182</v>
      </c>
      <c r="G347" t="s">
        <v>110</v>
      </c>
      <c r="H347">
        <v>3.4493303970731101E-3</v>
      </c>
      <c r="I347">
        <v>2.17924512854712E-2</v>
      </c>
      <c r="J347">
        <v>1.41318557547563E-2</v>
      </c>
      <c r="K347" t="s">
        <v>1158</v>
      </c>
      <c r="L347">
        <v>4</v>
      </c>
    </row>
    <row r="348" spans="1:12">
      <c r="A348" t="s">
        <v>1159</v>
      </c>
      <c r="B348" t="s">
        <v>11</v>
      </c>
      <c r="C348" t="s">
        <v>1159</v>
      </c>
      <c r="D348" t="s">
        <v>1160</v>
      </c>
      <c r="F348" t="s">
        <v>129</v>
      </c>
      <c r="G348" t="s">
        <v>645</v>
      </c>
      <c r="H348">
        <v>3.46376431788304E-3</v>
      </c>
      <c r="I348">
        <v>2.17924512854712E-2</v>
      </c>
      <c r="J348">
        <v>1.41318557547563E-2</v>
      </c>
      <c r="K348" t="s">
        <v>1161</v>
      </c>
      <c r="L348">
        <v>5</v>
      </c>
    </row>
    <row r="349" spans="1:12">
      <c r="A349" t="s">
        <v>1162</v>
      </c>
      <c r="B349" t="s">
        <v>11</v>
      </c>
      <c r="C349" t="s">
        <v>1162</v>
      </c>
      <c r="D349" t="s">
        <v>1163</v>
      </c>
      <c r="F349" t="s">
        <v>694</v>
      </c>
      <c r="G349" t="s">
        <v>130</v>
      </c>
      <c r="H349">
        <v>3.4979219573578902E-3</v>
      </c>
      <c r="I349">
        <v>2.17924512854712E-2</v>
      </c>
      <c r="J349">
        <v>1.41318557547563E-2</v>
      </c>
      <c r="K349" t="s">
        <v>1164</v>
      </c>
      <c r="L349">
        <v>2</v>
      </c>
    </row>
    <row r="350" spans="1:12">
      <c r="A350" t="s">
        <v>1165</v>
      </c>
      <c r="B350" t="s">
        <v>11</v>
      </c>
      <c r="C350" t="s">
        <v>1165</v>
      </c>
      <c r="D350" t="s">
        <v>1166</v>
      </c>
      <c r="F350" t="s">
        <v>694</v>
      </c>
      <c r="G350" t="s">
        <v>130</v>
      </c>
      <c r="H350">
        <v>3.4979219573578902E-3</v>
      </c>
      <c r="I350">
        <v>2.17924512854712E-2</v>
      </c>
      <c r="J350">
        <v>1.41318557547563E-2</v>
      </c>
      <c r="K350" t="s">
        <v>797</v>
      </c>
      <c r="L350">
        <v>2</v>
      </c>
    </row>
    <row r="351" spans="1:12">
      <c r="A351" t="s">
        <v>1167</v>
      </c>
      <c r="B351" t="s">
        <v>11</v>
      </c>
      <c r="C351" t="s">
        <v>1167</v>
      </c>
      <c r="D351" t="s">
        <v>1168</v>
      </c>
      <c r="F351" t="s">
        <v>694</v>
      </c>
      <c r="G351" t="s">
        <v>130</v>
      </c>
      <c r="H351">
        <v>3.4979219573578902E-3</v>
      </c>
      <c r="I351">
        <v>2.17924512854712E-2</v>
      </c>
      <c r="J351">
        <v>1.41318557547563E-2</v>
      </c>
      <c r="K351" t="s">
        <v>955</v>
      </c>
      <c r="L351">
        <v>2</v>
      </c>
    </row>
    <row r="352" spans="1:12">
      <c r="A352" t="s">
        <v>1169</v>
      </c>
      <c r="B352" t="s">
        <v>11</v>
      </c>
      <c r="C352" t="s">
        <v>1169</v>
      </c>
      <c r="D352" t="s">
        <v>1170</v>
      </c>
      <c r="F352" t="s">
        <v>694</v>
      </c>
      <c r="G352" t="s">
        <v>130</v>
      </c>
      <c r="H352">
        <v>3.4979219573578902E-3</v>
      </c>
      <c r="I352">
        <v>2.17924512854712E-2</v>
      </c>
      <c r="J352">
        <v>1.41318557547563E-2</v>
      </c>
      <c r="K352" t="s">
        <v>955</v>
      </c>
      <c r="L352">
        <v>2</v>
      </c>
    </row>
    <row r="353" spans="1:12">
      <c r="A353" t="s">
        <v>1171</v>
      </c>
      <c r="B353" t="s">
        <v>11</v>
      </c>
      <c r="C353" t="s">
        <v>1171</v>
      </c>
      <c r="D353" t="s">
        <v>1172</v>
      </c>
      <c r="F353" t="s">
        <v>694</v>
      </c>
      <c r="G353" t="s">
        <v>130</v>
      </c>
      <c r="H353">
        <v>3.4979219573578902E-3</v>
      </c>
      <c r="I353">
        <v>2.17924512854712E-2</v>
      </c>
      <c r="J353">
        <v>1.41318557547563E-2</v>
      </c>
      <c r="K353" t="s">
        <v>955</v>
      </c>
      <c r="L353">
        <v>2</v>
      </c>
    </row>
    <row r="354" spans="1:12">
      <c r="A354" t="s">
        <v>1173</v>
      </c>
      <c r="B354" t="s">
        <v>11</v>
      </c>
      <c r="C354" t="s">
        <v>1173</v>
      </c>
      <c r="D354" t="s">
        <v>1174</v>
      </c>
      <c r="F354" t="s">
        <v>114</v>
      </c>
      <c r="G354" t="s">
        <v>1175</v>
      </c>
      <c r="H354">
        <v>3.52788015010302E-3</v>
      </c>
      <c r="I354">
        <v>2.19168305075805E-2</v>
      </c>
      <c r="J354">
        <v>1.4212512547455401E-2</v>
      </c>
      <c r="K354" t="s">
        <v>1176</v>
      </c>
      <c r="L354">
        <v>7</v>
      </c>
    </row>
    <row r="355" spans="1:12">
      <c r="A355" t="s">
        <v>1177</v>
      </c>
      <c r="B355" t="s">
        <v>11</v>
      </c>
      <c r="C355" t="s">
        <v>1177</v>
      </c>
      <c r="D355" t="s">
        <v>1178</v>
      </c>
      <c r="F355" t="s">
        <v>312</v>
      </c>
      <c r="G355" t="s">
        <v>1179</v>
      </c>
      <c r="H355">
        <v>3.5569735953620198E-3</v>
      </c>
      <c r="I355">
        <v>2.2035149984827401E-2</v>
      </c>
      <c r="J355">
        <v>1.42892397482429E-2</v>
      </c>
      <c r="K355" t="s">
        <v>669</v>
      </c>
      <c r="L355">
        <v>3</v>
      </c>
    </row>
    <row r="356" spans="1:12">
      <c r="A356" t="s">
        <v>1180</v>
      </c>
      <c r="B356" t="s">
        <v>11</v>
      </c>
      <c r="C356" t="s">
        <v>1180</v>
      </c>
      <c r="D356" t="s">
        <v>1181</v>
      </c>
      <c r="F356" t="s">
        <v>119</v>
      </c>
      <c r="G356" t="s">
        <v>1182</v>
      </c>
      <c r="H356">
        <v>3.63571645131446E-3</v>
      </c>
      <c r="I356">
        <v>2.2459510359810201E-2</v>
      </c>
      <c r="J356">
        <v>1.4564426762715601E-2</v>
      </c>
      <c r="K356" t="s">
        <v>977</v>
      </c>
      <c r="L356">
        <v>6</v>
      </c>
    </row>
    <row r="357" spans="1:12">
      <c r="A357" t="s">
        <v>1183</v>
      </c>
      <c r="B357" t="s">
        <v>11</v>
      </c>
      <c r="C357" t="s">
        <v>1183</v>
      </c>
      <c r="D357" t="s">
        <v>1184</v>
      </c>
      <c r="F357" t="s">
        <v>182</v>
      </c>
      <c r="G357" t="s">
        <v>14</v>
      </c>
      <c r="H357">
        <v>3.77995234678125E-3</v>
      </c>
      <c r="I357">
        <v>2.30901502515862E-2</v>
      </c>
      <c r="J357">
        <v>1.4973380848101899E-2</v>
      </c>
      <c r="K357" t="s">
        <v>1185</v>
      </c>
      <c r="L357">
        <v>4</v>
      </c>
    </row>
    <row r="358" spans="1:12">
      <c r="A358" t="s">
        <v>1186</v>
      </c>
      <c r="B358" t="s">
        <v>11</v>
      </c>
      <c r="C358" t="s">
        <v>1186</v>
      </c>
      <c r="D358" t="s">
        <v>1187</v>
      </c>
      <c r="F358" t="s">
        <v>119</v>
      </c>
      <c r="G358" t="s">
        <v>1188</v>
      </c>
      <c r="H358">
        <v>3.7826263089859699E-3</v>
      </c>
      <c r="I358">
        <v>2.30901502515862E-2</v>
      </c>
      <c r="J358">
        <v>1.4973380848101899E-2</v>
      </c>
      <c r="K358" t="s">
        <v>1189</v>
      </c>
      <c r="L358">
        <v>6</v>
      </c>
    </row>
    <row r="359" spans="1:12">
      <c r="A359" t="s">
        <v>1190</v>
      </c>
      <c r="B359" t="s">
        <v>11</v>
      </c>
      <c r="C359" t="s">
        <v>1190</v>
      </c>
      <c r="D359" t="s">
        <v>1191</v>
      </c>
      <c r="F359" t="s">
        <v>694</v>
      </c>
      <c r="G359" t="s">
        <v>1192</v>
      </c>
      <c r="H359">
        <v>3.8211159012849099E-3</v>
      </c>
      <c r="I359">
        <v>2.30901502515862E-2</v>
      </c>
      <c r="J359">
        <v>1.4973380848101899E-2</v>
      </c>
      <c r="K359" t="s">
        <v>1124</v>
      </c>
      <c r="L359">
        <v>2</v>
      </c>
    </row>
    <row r="360" spans="1:12">
      <c r="A360" t="s">
        <v>1193</v>
      </c>
      <c r="B360" t="s">
        <v>11</v>
      </c>
      <c r="C360" t="s">
        <v>1193</v>
      </c>
      <c r="D360" t="s">
        <v>1194</v>
      </c>
      <c r="F360" t="s">
        <v>694</v>
      </c>
      <c r="G360" t="s">
        <v>1192</v>
      </c>
      <c r="H360">
        <v>3.8211159012849099E-3</v>
      </c>
      <c r="I360">
        <v>2.30901502515862E-2</v>
      </c>
      <c r="J360">
        <v>1.4973380848101899E-2</v>
      </c>
      <c r="K360" t="s">
        <v>794</v>
      </c>
      <c r="L360">
        <v>2</v>
      </c>
    </row>
    <row r="361" spans="1:12">
      <c r="A361" t="s">
        <v>1195</v>
      </c>
      <c r="B361" t="s">
        <v>11</v>
      </c>
      <c r="C361" t="s">
        <v>1195</v>
      </c>
      <c r="D361" t="s">
        <v>1196</v>
      </c>
      <c r="F361" t="s">
        <v>694</v>
      </c>
      <c r="G361" t="s">
        <v>1192</v>
      </c>
      <c r="H361">
        <v>3.8211159012849099E-3</v>
      </c>
      <c r="I361">
        <v>2.30901502515862E-2</v>
      </c>
      <c r="J361">
        <v>1.4973380848101899E-2</v>
      </c>
      <c r="K361" t="s">
        <v>1063</v>
      </c>
      <c r="L361">
        <v>2</v>
      </c>
    </row>
    <row r="362" spans="1:12">
      <c r="A362" t="s">
        <v>1197</v>
      </c>
      <c r="B362" t="s">
        <v>11</v>
      </c>
      <c r="C362" t="s">
        <v>1197</v>
      </c>
      <c r="D362" t="s">
        <v>1198</v>
      </c>
      <c r="F362" t="s">
        <v>694</v>
      </c>
      <c r="G362" t="s">
        <v>1192</v>
      </c>
      <c r="H362">
        <v>3.8211159012849099E-3</v>
      </c>
      <c r="I362">
        <v>2.30901502515862E-2</v>
      </c>
      <c r="J362">
        <v>1.4973380848101899E-2</v>
      </c>
      <c r="K362" t="s">
        <v>955</v>
      </c>
      <c r="L362">
        <v>2</v>
      </c>
    </row>
    <row r="363" spans="1:12">
      <c r="A363" t="s">
        <v>1199</v>
      </c>
      <c r="B363" t="s">
        <v>11</v>
      </c>
      <c r="C363" t="s">
        <v>1199</v>
      </c>
      <c r="D363" t="s">
        <v>1200</v>
      </c>
      <c r="F363" t="s">
        <v>694</v>
      </c>
      <c r="G363" t="s">
        <v>1192</v>
      </c>
      <c r="H363">
        <v>3.8211159012849099E-3</v>
      </c>
      <c r="I363">
        <v>2.30901502515862E-2</v>
      </c>
      <c r="J363">
        <v>1.4973380848101899E-2</v>
      </c>
      <c r="K363" t="s">
        <v>702</v>
      </c>
      <c r="L363">
        <v>2</v>
      </c>
    </row>
    <row r="364" spans="1:12">
      <c r="A364" t="s">
        <v>1201</v>
      </c>
      <c r="B364" t="s">
        <v>11</v>
      </c>
      <c r="C364" t="s">
        <v>1201</v>
      </c>
      <c r="D364" t="s">
        <v>1202</v>
      </c>
      <c r="F364" t="s">
        <v>119</v>
      </c>
      <c r="G364" t="s">
        <v>1203</v>
      </c>
      <c r="H364">
        <v>3.83256483884058E-3</v>
      </c>
      <c r="I364">
        <v>2.30901502515862E-2</v>
      </c>
      <c r="J364">
        <v>1.4973380848101899E-2</v>
      </c>
      <c r="K364" t="s">
        <v>808</v>
      </c>
      <c r="L364">
        <v>6</v>
      </c>
    </row>
    <row r="365" spans="1:12">
      <c r="A365" t="s">
        <v>1204</v>
      </c>
      <c r="B365" t="s">
        <v>11</v>
      </c>
      <c r="C365" t="s">
        <v>1204</v>
      </c>
      <c r="D365" t="s">
        <v>1205</v>
      </c>
      <c r="F365" t="s">
        <v>119</v>
      </c>
      <c r="G365" t="s">
        <v>1203</v>
      </c>
      <c r="H365">
        <v>3.83256483884058E-3</v>
      </c>
      <c r="I365">
        <v>2.30901502515862E-2</v>
      </c>
      <c r="J365">
        <v>1.4973380848101899E-2</v>
      </c>
      <c r="K365" t="s">
        <v>1206</v>
      </c>
      <c r="L365">
        <v>6</v>
      </c>
    </row>
    <row r="366" spans="1:12">
      <c r="A366" t="s">
        <v>1207</v>
      </c>
      <c r="B366" t="s">
        <v>11</v>
      </c>
      <c r="C366" t="s">
        <v>1207</v>
      </c>
      <c r="D366" t="s">
        <v>1208</v>
      </c>
      <c r="F366" t="s">
        <v>312</v>
      </c>
      <c r="G366" t="s">
        <v>1209</v>
      </c>
      <c r="H366">
        <v>4.10965461787268E-3</v>
      </c>
      <c r="I366">
        <v>2.4642658870892099E-2</v>
      </c>
      <c r="J366">
        <v>1.59801435834474E-2</v>
      </c>
      <c r="K366" t="s">
        <v>875</v>
      </c>
      <c r="L366">
        <v>3</v>
      </c>
    </row>
    <row r="367" spans="1:12">
      <c r="A367" t="s">
        <v>1210</v>
      </c>
      <c r="B367" t="s">
        <v>11</v>
      </c>
      <c r="C367" t="s">
        <v>1210</v>
      </c>
      <c r="D367" t="s">
        <v>1211</v>
      </c>
      <c r="F367" t="s">
        <v>182</v>
      </c>
      <c r="G367" t="s">
        <v>1212</v>
      </c>
      <c r="H367">
        <v>4.1314700194922203E-3</v>
      </c>
      <c r="I367">
        <v>2.4642658870892099E-2</v>
      </c>
      <c r="J367">
        <v>1.59801435834474E-2</v>
      </c>
      <c r="K367" t="s">
        <v>1058</v>
      </c>
      <c r="L367">
        <v>4</v>
      </c>
    </row>
    <row r="368" spans="1:12">
      <c r="A368" t="s">
        <v>1213</v>
      </c>
      <c r="B368" t="s">
        <v>11</v>
      </c>
      <c r="C368" t="s">
        <v>1213</v>
      </c>
      <c r="D368" t="s">
        <v>1214</v>
      </c>
      <c r="F368" t="s">
        <v>129</v>
      </c>
      <c r="G368" t="s">
        <v>1215</v>
      </c>
      <c r="H368">
        <v>4.1522026542903899E-3</v>
      </c>
      <c r="I368">
        <v>2.4642658870892099E-2</v>
      </c>
      <c r="J368">
        <v>1.59801435834474E-2</v>
      </c>
      <c r="K368" t="s">
        <v>1161</v>
      </c>
      <c r="L368">
        <v>5</v>
      </c>
    </row>
    <row r="369" spans="1:12">
      <c r="A369" t="s">
        <v>1216</v>
      </c>
      <c r="B369" t="s">
        <v>11</v>
      </c>
      <c r="C369" t="s">
        <v>1216</v>
      </c>
      <c r="D369" t="s">
        <v>1217</v>
      </c>
      <c r="F369" t="s">
        <v>694</v>
      </c>
      <c r="G369" t="s">
        <v>468</v>
      </c>
      <c r="H369">
        <v>4.15767614328776E-3</v>
      </c>
      <c r="I369">
        <v>2.4642658870892099E-2</v>
      </c>
      <c r="J369">
        <v>1.59801435834474E-2</v>
      </c>
      <c r="K369" t="s">
        <v>797</v>
      </c>
      <c r="L369">
        <v>2</v>
      </c>
    </row>
    <row r="370" spans="1:12">
      <c r="A370" t="s">
        <v>1218</v>
      </c>
      <c r="B370" t="s">
        <v>11</v>
      </c>
      <c r="C370" t="s">
        <v>1218</v>
      </c>
      <c r="D370" t="s">
        <v>1219</v>
      </c>
      <c r="F370" t="s">
        <v>694</v>
      </c>
      <c r="G370" t="s">
        <v>468</v>
      </c>
      <c r="H370">
        <v>4.15767614328776E-3</v>
      </c>
      <c r="I370">
        <v>2.4642658870892099E-2</v>
      </c>
      <c r="J370">
        <v>1.59801435834474E-2</v>
      </c>
      <c r="K370" t="s">
        <v>1124</v>
      </c>
      <c r="L370">
        <v>2</v>
      </c>
    </row>
    <row r="371" spans="1:12">
      <c r="A371" t="s">
        <v>1220</v>
      </c>
      <c r="B371" t="s">
        <v>11</v>
      </c>
      <c r="C371" t="s">
        <v>1220</v>
      </c>
      <c r="D371" t="s">
        <v>1221</v>
      </c>
      <c r="F371" t="s">
        <v>694</v>
      </c>
      <c r="G371" t="s">
        <v>468</v>
      </c>
      <c r="H371">
        <v>4.15767614328776E-3</v>
      </c>
      <c r="I371">
        <v>2.4642658870892099E-2</v>
      </c>
      <c r="J371">
        <v>1.59801435834474E-2</v>
      </c>
      <c r="K371" t="s">
        <v>1129</v>
      </c>
      <c r="L371">
        <v>2</v>
      </c>
    </row>
    <row r="372" spans="1:12">
      <c r="A372" t="s">
        <v>1222</v>
      </c>
      <c r="B372" t="s">
        <v>11</v>
      </c>
      <c r="C372" t="s">
        <v>1222</v>
      </c>
      <c r="D372" t="s">
        <v>1223</v>
      </c>
      <c r="F372" t="s">
        <v>129</v>
      </c>
      <c r="G372" t="s">
        <v>1224</v>
      </c>
      <c r="H372">
        <v>4.3558070583709398E-3</v>
      </c>
      <c r="I372">
        <v>2.5747398595707401E-2</v>
      </c>
      <c r="J372">
        <v>1.6696539469028601E-2</v>
      </c>
      <c r="K372" t="s">
        <v>1225</v>
      </c>
      <c r="L372">
        <v>5</v>
      </c>
    </row>
    <row r="373" spans="1:12">
      <c r="A373" t="s">
        <v>1226</v>
      </c>
      <c r="B373" t="s">
        <v>11</v>
      </c>
      <c r="C373" t="s">
        <v>1226</v>
      </c>
      <c r="D373" t="s">
        <v>1227</v>
      </c>
      <c r="F373" t="s">
        <v>312</v>
      </c>
      <c r="G373" t="s">
        <v>576</v>
      </c>
      <c r="H373">
        <v>4.4044687239502096E-3</v>
      </c>
      <c r="I373">
        <v>2.5965053525867799E-2</v>
      </c>
      <c r="J373">
        <v>1.6837683208989099E-2</v>
      </c>
      <c r="K373" t="s">
        <v>669</v>
      </c>
      <c r="L373">
        <v>3</v>
      </c>
    </row>
    <row r="374" spans="1:12">
      <c r="A374" t="s">
        <v>1228</v>
      </c>
      <c r="B374" t="s">
        <v>11</v>
      </c>
      <c r="C374" t="s">
        <v>1228</v>
      </c>
      <c r="D374" t="s">
        <v>1229</v>
      </c>
      <c r="F374" t="s">
        <v>694</v>
      </c>
      <c r="G374" t="s">
        <v>475</v>
      </c>
      <c r="H374">
        <v>4.5074928672316104E-3</v>
      </c>
      <c r="I374">
        <v>2.65011577958148E-2</v>
      </c>
      <c r="J374">
        <v>1.7185333324763401E-2</v>
      </c>
      <c r="K374" t="s">
        <v>797</v>
      </c>
      <c r="L374">
        <v>2</v>
      </c>
    </row>
    <row r="375" spans="1:12">
      <c r="A375" t="s">
        <v>1230</v>
      </c>
      <c r="B375" t="s">
        <v>11</v>
      </c>
      <c r="C375" t="s">
        <v>1230</v>
      </c>
      <c r="D375" t="s">
        <v>1231</v>
      </c>
      <c r="F375" t="s">
        <v>312</v>
      </c>
      <c r="G375" t="s">
        <v>1232</v>
      </c>
      <c r="H375">
        <v>4.5565638543322504E-3</v>
      </c>
      <c r="I375">
        <v>2.6633599716228199E-2</v>
      </c>
      <c r="J375">
        <v>1.7271218574231102E-2</v>
      </c>
      <c r="K375" t="s">
        <v>1233</v>
      </c>
      <c r="L375">
        <v>3</v>
      </c>
    </row>
    <row r="376" spans="1:12">
      <c r="A376" t="s">
        <v>1234</v>
      </c>
      <c r="B376" t="s">
        <v>11</v>
      </c>
      <c r="C376" t="s">
        <v>1234</v>
      </c>
      <c r="D376" t="s">
        <v>1235</v>
      </c>
      <c r="F376" t="s">
        <v>312</v>
      </c>
      <c r="G376" t="s">
        <v>1232</v>
      </c>
      <c r="H376">
        <v>4.5565638543322504E-3</v>
      </c>
      <c r="I376">
        <v>2.6633599716228199E-2</v>
      </c>
      <c r="J376">
        <v>1.7271218574231102E-2</v>
      </c>
      <c r="K376" t="s">
        <v>669</v>
      </c>
      <c r="L376">
        <v>3</v>
      </c>
    </row>
    <row r="377" spans="1:12">
      <c r="A377" t="s">
        <v>1236</v>
      </c>
      <c r="B377" t="s">
        <v>11</v>
      </c>
      <c r="C377" t="s">
        <v>1236</v>
      </c>
      <c r="D377" t="s">
        <v>1237</v>
      </c>
      <c r="F377" t="s">
        <v>129</v>
      </c>
      <c r="G377" t="s">
        <v>1238</v>
      </c>
      <c r="H377">
        <v>4.5664539413140899E-3</v>
      </c>
      <c r="I377">
        <v>2.6633599716228199E-2</v>
      </c>
      <c r="J377">
        <v>1.7271218574231102E-2</v>
      </c>
      <c r="K377" t="s">
        <v>1239</v>
      </c>
      <c r="L377">
        <v>5</v>
      </c>
    </row>
    <row r="378" spans="1:12">
      <c r="A378" t="s">
        <v>1240</v>
      </c>
      <c r="B378" t="s">
        <v>11</v>
      </c>
      <c r="C378" t="s">
        <v>1240</v>
      </c>
      <c r="D378" t="s">
        <v>1241</v>
      </c>
      <c r="F378" t="s">
        <v>182</v>
      </c>
      <c r="G378" t="s">
        <v>1242</v>
      </c>
      <c r="H378">
        <v>4.6011737316814499E-3</v>
      </c>
      <c r="I378">
        <v>2.6764917754847298E-2</v>
      </c>
      <c r="J378">
        <v>1.7356375014663201E-2</v>
      </c>
      <c r="K378" t="s">
        <v>1243</v>
      </c>
      <c r="L378">
        <v>4</v>
      </c>
    </row>
    <row r="379" spans="1:12">
      <c r="A379" t="s">
        <v>1244</v>
      </c>
      <c r="B379" t="s">
        <v>11</v>
      </c>
      <c r="C379" t="s">
        <v>1244</v>
      </c>
      <c r="D379" t="s">
        <v>1245</v>
      </c>
      <c r="F379" t="s">
        <v>182</v>
      </c>
      <c r="G379" t="s">
        <v>286</v>
      </c>
      <c r="H379">
        <v>4.79872253318932E-3</v>
      </c>
      <c r="I379">
        <v>2.7840207712391998E-2</v>
      </c>
      <c r="J379">
        <v>1.80536734679442E-2</v>
      </c>
      <c r="K379" t="s">
        <v>1246</v>
      </c>
      <c r="L379">
        <v>4</v>
      </c>
    </row>
    <row r="380" spans="1:12">
      <c r="A380" t="s">
        <v>1247</v>
      </c>
      <c r="B380" t="s">
        <v>11</v>
      </c>
      <c r="C380" t="s">
        <v>1247</v>
      </c>
      <c r="D380" t="s">
        <v>1248</v>
      </c>
      <c r="F380" t="s">
        <v>694</v>
      </c>
      <c r="G380" t="s">
        <v>485</v>
      </c>
      <c r="H380">
        <v>4.8704569036893998E-3</v>
      </c>
      <c r="I380">
        <v>2.80338897369839E-2</v>
      </c>
      <c r="J380">
        <v>1.81792713824683E-2</v>
      </c>
      <c r="K380" t="s">
        <v>1063</v>
      </c>
      <c r="L380">
        <v>2</v>
      </c>
    </row>
    <row r="381" spans="1:12">
      <c r="A381" t="s">
        <v>1249</v>
      </c>
      <c r="B381" t="s">
        <v>11</v>
      </c>
      <c r="C381" t="s">
        <v>1249</v>
      </c>
      <c r="D381" t="s">
        <v>1250</v>
      </c>
      <c r="F381" t="s">
        <v>694</v>
      </c>
      <c r="G381" t="s">
        <v>485</v>
      </c>
      <c r="H381">
        <v>4.8704569036893998E-3</v>
      </c>
      <c r="I381">
        <v>2.80338897369839E-2</v>
      </c>
      <c r="J381">
        <v>1.81792713824683E-2</v>
      </c>
      <c r="K381" t="s">
        <v>705</v>
      </c>
      <c r="L381">
        <v>2</v>
      </c>
    </row>
    <row r="382" spans="1:12">
      <c r="A382" t="s">
        <v>1251</v>
      </c>
      <c r="B382" t="s">
        <v>11</v>
      </c>
      <c r="C382" t="s">
        <v>1251</v>
      </c>
      <c r="D382" t="s">
        <v>1252</v>
      </c>
      <c r="F382" t="s">
        <v>694</v>
      </c>
      <c r="G382" t="s">
        <v>485</v>
      </c>
      <c r="H382">
        <v>4.8704569036893998E-3</v>
      </c>
      <c r="I382">
        <v>2.80338897369839E-2</v>
      </c>
      <c r="J382">
        <v>1.81792713824683E-2</v>
      </c>
      <c r="K382" t="s">
        <v>1253</v>
      </c>
      <c r="L382">
        <v>2</v>
      </c>
    </row>
    <row r="383" spans="1:12">
      <c r="A383" t="s">
        <v>1254</v>
      </c>
      <c r="B383" t="s">
        <v>11</v>
      </c>
      <c r="C383" t="s">
        <v>1254</v>
      </c>
      <c r="D383" t="s">
        <v>1255</v>
      </c>
      <c r="F383" t="s">
        <v>129</v>
      </c>
      <c r="G383" t="s">
        <v>1256</v>
      </c>
      <c r="H383">
        <v>5.0094023638969599E-3</v>
      </c>
      <c r="I383">
        <v>2.8683079331660699E-2</v>
      </c>
      <c r="J383">
        <v>1.8600254482959402E-2</v>
      </c>
      <c r="K383" t="s">
        <v>1257</v>
      </c>
      <c r="L383">
        <v>5</v>
      </c>
    </row>
    <row r="384" spans="1:12">
      <c r="A384" t="s">
        <v>1258</v>
      </c>
      <c r="B384" t="s">
        <v>11</v>
      </c>
      <c r="C384" t="s">
        <v>1258</v>
      </c>
      <c r="D384" t="s">
        <v>1259</v>
      </c>
      <c r="F384" t="s">
        <v>129</v>
      </c>
      <c r="G384" t="s">
        <v>1256</v>
      </c>
      <c r="H384">
        <v>5.0094023638969599E-3</v>
      </c>
      <c r="I384">
        <v>2.8683079331660699E-2</v>
      </c>
      <c r="J384">
        <v>1.8600254482959402E-2</v>
      </c>
      <c r="K384" t="s">
        <v>1260</v>
      </c>
      <c r="L384">
        <v>5</v>
      </c>
    </row>
    <row r="385" spans="1:12">
      <c r="A385" t="s">
        <v>1261</v>
      </c>
      <c r="B385" t="s">
        <v>11</v>
      </c>
      <c r="C385" t="s">
        <v>1261</v>
      </c>
      <c r="D385" t="s">
        <v>1262</v>
      </c>
      <c r="F385" t="s">
        <v>312</v>
      </c>
      <c r="G385" t="s">
        <v>614</v>
      </c>
      <c r="H385">
        <v>5.1966384490679798E-3</v>
      </c>
      <c r="I385">
        <v>2.9653314898184902E-2</v>
      </c>
      <c r="J385">
        <v>1.9229427809752401E-2</v>
      </c>
      <c r="K385" t="s">
        <v>1263</v>
      </c>
      <c r="L385">
        <v>3</v>
      </c>
    </row>
    <row r="386" spans="1:12">
      <c r="A386" t="s">
        <v>1264</v>
      </c>
      <c r="B386" t="s">
        <v>11</v>
      </c>
      <c r="C386" t="s">
        <v>1264</v>
      </c>
      <c r="D386" t="s">
        <v>1265</v>
      </c>
      <c r="F386" t="s">
        <v>694</v>
      </c>
      <c r="G386" t="s">
        <v>1266</v>
      </c>
      <c r="H386">
        <v>5.2464597266282404E-3</v>
      </c>
      <c r="I386">
        <v>2.9653314898184902E-2</v>
      </c>
      <c r="J386">
        <v>1.9229427809752401E-2</v>
      </c>
      <c r="K386" t="s">
        <v>1113</v>
      </c>
      <c r="L386">
        <v>2</v>
      </c>
    </row>
    <row r="387" spans="1:12">
      <c r="A387" t="s">
        <v>1267</v>
      </c>
      <c r="B387" t="s">
        <v>11</v>
      </c>
      <c r="C387" t="s">
        <v>1267</v>
      </c>
      <c r="D387" t="s">
        <v>1268</v>
      </c>
      <c r="F387" t="s">
        <v>694</v>
      </c>
      <c r="G387" t="s">
        <v>1266</v>
      </c>
      <c r="H387">
        <v>5.2464597266282404E-3</v>
      </c>
      <c r="I387">
        <v>2.9653314898184902E-2</v>
      </c>
      <c r="J387">
        <v>1.9229427809752401E-2</v>
      </c>
      <c r="K387" t="s">
        <v>1029</v>
      </c>
      <c r="L387">
        <v>2</v>
      </c>
    </row>
    <row r="388" spans="1:12">
      <c r="A388" t="s">
        <v>1269</v>
      </c>
      <c r="B388" t="s">
        <v>11</v>
      </c>
      <c r="C388" t="s">
        <v>1269</v>
      </c>
      <c r="D388" t="s">
        <v>1270</v>
      </c>
      <c r="F388" t="s">
        <v>694</v>
      </c>
      <c r="G388" t="s">
        <v>1266</v>
      </c>
      <c r="H388">
        <v>5.2464597266282404E-3</v>
      </c>
      <c r="I388">
        <v>2.9653314898184902E-2</v>
      </c>
      <c r="J388">
        <v>1.9229427809752401E-2</v>
      </c>
      <c r="K388" t="s">
        <v>1029</v>
      </c>
      <c r="L388">
        <v>2</v>
      </c>
    </row>
    <row r="389" spans="1:12">
      <c r="A389" t="s">
        <v>1271</v>
      </c>
      <c r="B389" t="s">
        <v>11</v>
      </c>
      <c r="C389" t="s">
        <v>1271</v>
      </c>
      <c r="D389" t="s">
        <v>1272</v>
      </c>
      <c r="F389" t="s">
        <v>694</v>
      </c>
      <c r="G389" t="s">
        <v>1266</v>
      </c>
      <c r="H389">
        <v>5.2464597266282404E-3</v>
      </c>
      <c r="I389">
        <v>2.9653314898184902E-2</v>
      </c>
      <c r="J389">
        <v>1.9229427809752401E-2</v>
      </c>
      <c r="K389" t="s">
        <v>702</v>
      </c>
      <c r="L389">
        <v>2</v>
      </c>
    </row>
    <row r="390" spans="1:12">
      <c r="A390" t="s">
        <v>1273</v>
      </c>
      <c r="B390" t="s">
        <v>11</v>
      </c>
      <c r="C390" t="s">
        <v>1273</v>
      </c>
      <c r="D390" t="s">
        <v>1274</v>
      </c>
      <c r="F390" t="s">
        <v>182</v>
      </c>
      <c r="G390" t="s">
        <v>1275</v>
      </c>
      <c r="H390">
        <v>5.31740095262091E-3</v>
      </c>
      <c r="I390">
        <v>2.99770187380402E-2</v>
      </c>
      <c r="J390">
        <v>1.9439341596511599E-2</v>
      </c>
      <c r="K390" t="s">
        <v>894</v>
      </c>
      <c r="L390">
        <v>4</v>
      </c>
    </row>
    <row r="391" spans="1:12">
      <c r="A391" t="s">
        <v>1276</v>
      </c>
      <c r="B391" t="s">
        <v>11</v>
      </c>
      <c r="C391" t="s">
        <v>1276</v>
      </c>
      <c r="D391" t="s">
        <v>1277</v>
      </c>
      <c r="F391" t="s">
        <v>312</v>
      </c>
      <c r="G391" t="s">
        <v>351</v>
      </c>
      <c r="H391">
        <v>5.3646712415554498E-3</v>
      </c>
      <c r="I391">
        <v>3.01659590582849E-2</v>
      </c>
      <c r="J391">
        <v>1.9561864635199499E-2</v>
      </c>
      <c r="K391" t="s">
        <v>314</v>
      </c>
      <c r="L391">
        <v>3</v>
      </c>
    </row>
    <row r="392" spans="1:12">
      <c r="A392" t="s">
        <v>1278</v>
      </c>
      <c r="B392" t="s">
        <v>11</v>
      </c>
      <c r="C392" t="s">
        <v>1278</v>
      </c>
      <c r="D392" t="s">
        <v>1279</v>
      </c>
      <c r="F392" t="s">
        <v>312</v>
      </c>
      <c r="G392" t="s">
        <v>1280</v>
      </c>
      <c r="H392">
        <v>5.5359446642441702E-3</v>
      </c>
      <c r="I392">
        <v>3.0891416408873901E-2</v>
      </c>
      <c r="J392">
        <v>2.00323054543829E-2</v>
      </c>
      <c r="K392" t="s">
        <v>628</v>
      </c>
      <c r="L392">
        <v>3</v>
      </c>
    </row>
    <row r="393" spans="1:12">
      <c r="A393" t="s">
        <v>1281</v>
      </c>
      <c r="B393" t="s">
        <v>11</v>
      </c>
      <c r="C393" t="s">
        <v>1281</v>
      </c>
      <c r="D393" t="s">
        <v>1282</v>
      </c>
      <c r="F393" t="s">
        <v>312</v>
      </c>
      <c r="G393" t="s">
        <v>1280</v>
      </c>
      <c r="H393">
        <v>5.5359446642441702E-3</v>
      </c>
      <c r="I393">
        <v>3.0891416408873901E-2</v>
      </c>
      <c r="J393">
        <v>2.00323054543829E-2</v>
      </c>
      <c r="K393" t="s">
        <v>1283</v>
      </c>
      <c r="L393">
        <v>3</v>
      </c>
    </row>
    <row r="394" spans="1:12">
      <c r="A394" t="s">
        <v>1284</v>
      </c>
      <c r="B394" t="s">
        <v>11</v>
      </c>
      <c r="C394" t="s">
        <v>1284</v>
      </c>
      <c r="D394" t="s">
        <v>1285</v>
      </c>
      <c r="F394" t="s">
        <v>312</v>
      </c>
      <c r="G394" t="s">
        <v>1280</v>
      </c>
      <c r="H394">
        <v>5.5359446642441702E-3</v>
      </c>
      <c r="I394">
        <v>3.0891416408873901E-2</v>
      </c>
      <c r="J394">
        <v>2.00323054543829E-2</v>
      </c>
      <c r="K394" t="s">
        <v>1286</v>
      </c>
      <c r="L394">
        <v>3</v>
      </c>
    </row>
    <row r="395" spans="1:12">
      <c r="A395" t="s">
        <v>1287</v>
      </c>
      <c r="B395" t="s">
        <v>11</v>
      </c>
      <c r="C395" t="s">
        <v>1287</v>
      </c>
      <c r="D395" t="s">
        <v>1288</v>
      </c>
      <c r="F395" t="s">
        <v>694</v>
      </c>
      <c r="G395" t="s">
        <v>512</v>
      </c>
      <c r="H395">
        <v>5.6353934501114497E-3</v>
      </c>
      <c r="I395">
        <v>3.12693754111458E-2</v>
      </c>
      <c r="J395">
        <v>2.0277402347401101E-2</v>
      </c>
      <c r="K395" t="s">
        <v>1289</v>
      </c>
      <c r="L395">
        <v>2</v>
      </c>
    </row>
    <row r="396" spans="1:12">
      <c r="A396" t="s">
        <v>1290</v>
      </c>
      <c r="B396" t="s">
        <v>11</v>
      </c>
      <c r="C396" t="s">
        <v>1290</v>
      </c>
      <c r="D396" t="s">
        <v>1291</v>
      </c>
      <c r="F396" t="s">
        <v>694</v>
      </c>
      <c r="G396" t="s">
        <v>512</v>
      </c>
      <c r="H396">
        <v>5.6353934501114497E-3</v>
      </c>
      <c r="I396">
        <v>3.12693754111458E-2</v>
      </c>
      <c r="J396">
        <v>2.0277402347401101E-2</v>
      </c>
      <c r="K396" t="s">
        <v>1292</v>
      </c>
      <c r="L396">
        <v>2</v>
      </c>
    </row>
    <row r="397" spans="1:12">
      <c r="A397" t="s">
        <v>1293</v>
      </c>
      <c r="B397" t="s">
        <v>11</v>
      </c>
      <c r="C397" t="s">
        <v>1293</v>
      </c>
      <c r="D397" t="s">
        <v>1294</v>
      </c>
      <c r="F397" t="s">
        <v>129</v>
      </c>
      <c r="G397" t="s">
        <v>1295</v>
      </c>
      <c r="H397">
        <v>5.64645356261456E-3</v>
      </c>
      <c r="I397">
        <v>3.12693754111458E-2</v>
      </c>
      <c r="J397">
        <v>2.0277402347401101E-2</v>
      </c>
      <c r="K397" t="s">
        <v>294</v>
      </c>
      <c r="L397">
        <v>5</v>
      </c>
    </row>
    <row r="398" spans="1:12">
      <c r="A398" t="s">
        <v>1296</v>
      </c>
      <c r="B398" t="s">
        <v>11</v>
      </c>
      <c r="C398" t="s">
        <v>1296</v>
      </c>
      <c r="D398" t="s">
        <v>1297</v>
      </c>
      <c r="F398" t="s">
        <v>312</v>
      </c>
      <c r="G398" t="s">
        <v>64</v>
      </c>
      <c r="H398">
        <v>5.7104755736673597E-3</v>
      </c>
      <c r="I398">
        <v>3.1544264314993797E-2</v>
      </c>
      <c r="J398">
        <v>2.0455660877700101E-2</v>
      </c>
      <c r="K398" t="s">
        <v>1298</v>
      </c>
      <c r="L398">
        <v>3</v>
      </c>
    </row>
    <row r="399" spans="1:12">
      <c r="A399" t="s">
        <v>1299</v>
      </c>
      <c r="B399" t="s">
        <v>11</v>
      </c>
      <c r="C399" t="s">
        <v>1299</v>
      </c>
      <c r="D399" t="s">
        <v>1300</v>
      </c>
      <c r="F399" t="s">
        <v>182</v>
      </c>
      <c r="G399" t="s">
        <v>446</v>
      </c>
      <c r="H399">
        <v>5.8724087857910997E-3</v>
      </c>
      <c r="I399">
        <v>3.2357267505627799E-2</v>
      </c>
      <c r="J399">
        <v>2.0982872969065799E-2</v>
      </c>
      <c r="K399" t="s">
        <v>1243</v>
      </c>
      <c r="L399">
        <v>4</v>
      </c>
    </row>
    <row r="400" spans="1:12">
      <c r="A400" t="s">
        <v>1301</v>
      </c>
      <c r="B400" t="s">
        <v>11</v>
      </c>
      <c r="C400" t="s">
        <v>1301</v>
      </c>
      <c r="D400" t="s">
        <v>1302</v>
      </c>
      <c r="F400" t="s">
        <v>312</v>
      </c>
      <c r="G400" t="s">
        <v>636</v>
      </c>
      <c r="H400">
        <v>5.8882804715336403E-3</v>
      </c>
      <c r="I400">
        <v>3.2363406200684897E-2</v>
      </c>
      <c r="J400">
        <v>2.0986853758190101E-2</v>
      </c>
      <c r="K400" t="s">
        <v>1303</v>
      </c>
      <c r="L400">
        <v>3</v>
      </c>
    </row>
    <row r="401" spans="1:12">
      <c r="A401" t="s">
        <v>1304</v>
      </c>
      <c r="B401" t="s">
        <v>11</v>
      </c>
      <c r="C401" t="s">
        <v>1304</v>
      </c>
      <c r="D401" t="s">
        <v>1305</v>
      </c>
      <c r="F401" t="s">
        <v>694</v>
      </c>
      <c r="G401" t="s">
        <v>162</v>
      </c>
      <c r="H401">
        <v>6.0371508250161698E-3</v>
      </c>
      <c r="I401">
        <v>3.3098679398151198E-2</v>
      </c>
      <c r="J401">
        <v>2.1463659906833799E-2</v>
      </c>
      <c r="K401" t="s">
        <v>699</v>
      </c>
      <c r="L401">
        <v>2</v>
      </c>
    </row>
    <row r="402" spans="1:12">
      <c r="A402" t="s">
        <v>1306</v>
      </c>
      <c r="B402" t="s">
        <v>11</v>
      </c>
      <c r="C402" t="s">
        <v>1306</v>
      </c>
      <c r="D402" t="s">
        <v>1307</v>
      </c>
      <c r="F402" t="s">
        <v>129</v>
      </c>
      <c r="G402" t="s">
        <v>802</v>
      </c>
      <c r="H402">
        <v>6.0725611894393104E-3</v>
      </c>
      <c r="I402">
        <v>3.3209792240499802E-2</v>
      </c>
      <c r="J402">
        <v>2.1535713786408998E-2</v>
      </c>
      <c r="K402" t="s">
        <v>1308</v>
      </c>
      <c r="L402">
        <v>5</v>
      </c>
    </row>
    <row r="403" spans="1:12">
      <c r="A403" t="s">
        <v>1309</v>
      </c>
      <c r="B403" t="s">
        <v>11</v>
      </c>
      <c r="C403" t="s">
        <v>1309</v>
      </c>
      <c r="D403" t="s">
        <v>1310</v>
      </c>
      <c r="F403" t="s">
        <v>182</v>
      </c>
      <c r="G403" t="s">
        <v>1311</v>
      </c>
      <c r="H403">
        <v>6.1048290661704398E-3</v>
      </c>
      <c r="I403">
        <v>3.3303209308735801E-2</v>
      </c>
      <c r="J403">
        <v>2.1596292402189798E-2</v>
      </c>
      <c r="K403" t="s">
        <v>894</v>
      </c>
      <c r="L403">
        <v>4</v>
      </c>
    </row>
    <row r="404" spans="1:12">
      <c r="A404" t="s">
        <v>1312</v>
      </c>
      <c r="B404" t="s">
        <v>11</v>
      </c>
      <c r="C404" t="s">
        <v>1312</v>
      </c>
      <c r="D404" t="s">
        <v>1313</v>
      </c>
      <c r="F404" t="s">
        <v>129</v>
      </c>
      <c r="G404" t="s">
        <v>1314</v>
      </c>
      <c r="H404">
        <v>6.1604296406892996E-3</v>
      </c>
      <c r="I404">
        <v>3.3523132014966803E-2</v>
      </c>
      <c r="J404">
        <v>2.17389067378118E-2</v>
      </c>
      <c r="K404" t="s">
        <v>1315</v>
      </c>
      <c r="L404">
        <v>5</v>
      </c>
    </row>
    <row r="405" spans="1:12">
      <c r="A405" t="s">
        <v>1316</v>
      </c>
      <c r="B405" t="s">
        <v>11</v>
      </c>
      <c r="C405" t="s">
        <v>1316</v>
      </c>
      <c r="D405" t="s">
        <v>1317</v>
      </c>
      <c r="F405" t="s">
        <v>182</v>
      </c>
      <c r="G405" t="s">
        <v>738</v>
      </c>
      <c r="H405">
        <v>6.2233057923053899E-3</v>
      </c>
      <c r="I405">
        <v>3.36980484012981E-2</v>
      </c>
      <c r="J405">
        <v>2.1852335608588899E-2</v>
      </c>
      <c r="K405" t="s">
        <v>1318</v>
      </c>
      <c r="L405">
        <v>4</v>
      </c>
    </row>
    <row r="406" spans="1:12">
      <c r="A406" t="s">
        <v>1319</v>
      </c>
      <c r="B406" t="s">
        <v>11</v>
      </c>
      <c r="C406" t="s">
        <v>1319</v>
      </c>
      <c r="D406" t="s">
        <v>1320</v>
      </c>
      <c r="F406" t="s">
        <v>182</v>
      </c>
      <c r="G406" t="s">
        <v>738</v>
      </c>
      <c r="H406">
        <v>6.2233057923053899E-3</v>
      </c>
      <c r="I406">
        <v>3.36980484012981E-2</v>
      </c>
      <c r="J406">
        <v>2.1852335608588899E-2</v>
      </c>
      <c r="K406" t="s">
        <v>1321</v>
      </c>
      <c r="L406">
        <v>4</v>
      </c>
    </row>
    <row r="407" spans="1:12">
      <c r="A407" t="s">
        <v>1322</v>
      </c>
      <c r="B407" t="s">
        <v>11</v>
      </c>
      <c r="C407" t="s">
        <v>1322</v>
      </c>
      <c r="D407" t="s">
        <v>1323</v>
      </c>
      <c r="F407" t="s">
        <v>312</v>
      </c>
      <c r="G407" t="s">
        <v>1324</v>
      </c>
      <c r="H407">
        <v>6.2537764840890102E-3</v>
      </c>
      <c r="I407">
        <v>3.3779635048293601E-2</v>
      </c>
      <c r="J407">
        <v>2.1905242494177499E-2</v>
      </c>
      <c r="K407" t="s">
        <v>724</v>
      </c>
      <c r="L407">
        <v>3</v>
      </c>
    </row>
    <row r="408" spans="1:12">
      <c r="A408" t="s">
        <v>1325</v>
      </c>
      <c r="B408" t="s">
        <v>11</v>
      </c>
      <c r="C408" t="s">
        <v>1325</v>
      </c>
      <c r="D408" t="s">
        <v>1326</v>
      </c>
      <c r="F408" t="s">
        <v>129</v>
      </c>
      <c r="G408" t="s">
        <v>1327</v>
      </c>
      <c r="H408">
        <v>6.3388514022582497E-3</v>
      </c>
      <c r="I408">
        <v>3.4011901172502697E-2</v>
      </c>
      <c r="J408">
        <v>2.20558612254548E-2</v>
      </c>
      <c r="K408" t="s">
        <v>1328</v>
      </c>
      <c r="L408">
        <v>5</v>
      </c>
    </row>
    <row r="409" spans="1:12">
      <c r="A409" t="s">
        <v>1329</v>
      </c>
      <c r="B409" t="s">
        <v>11</v>
      </c>
      <c r="C409" t="s">
        <v>1329</v>
      </c>
      <c r="D409" t="s">
        <v>1330</v>
      </c>
      <c r="F409" t="s">
        <v>182</v>
      </c>
      <c r="G409" t="s">
        <v>1331</v>
      </c>
      <c r="H409">
        <v>6.3433048698374904E-3</v>
      </c>
      <c r="I409">
        <v>3.4011901172502697E-2</v>
      </c>
      <c r="J409">
        <v>2.20558612254548E-2</v>
      </c>
      <c r="K409" t="s">
        <v>1332</v>
      </c>
      <c r="L409">
        <v>4</v>
      </c>
    </row>
    <row r="410" spans="1:12">
      <c r="A410" t="s">
        <v>1333</v>
      </c>
      <c r="B410" t="s">
        <v>11</v>
      </c>
      <c r="C410" t="s">
        <v>1333</v>
      </c>
      <c r="D410" t="s">
        <v>1334</v>
      </c>
      <c r="F410" t="s">
        <v>182</v>
      </c>
      <c r="G410" t="s">
        <v>1331</v>
      </c>
      <c r="H410">
        <v>6.3433048698374904E-3</v>
      </c>
      <c r="I410">
        <v>3.4011901172502697E-2</v>
      </c>
      <c r="J410">
        <v>2.20558612254548E-2</v>
      </c>
      <c r="K410" t="s">
        <v>1185</v>
      </c>
      <c r="L410">
        <v>4</v>
      </c>
    </row>
    <row r="411" spans="1:12">
      <c r="A411" t="s">
        <v>1335</v>
      </c>
      <c r="B411" t="s">
        <v>11</v>
      </c>
      <c r="C411" t="s">
        <v>1335</v>
      </c>
      <c r="D411" t="s">
        <v>1336</v>
      </c>
      <c r="F411" t="s">
        <v>694</v>
      </c>
      <c r="G411" t="s">
        <v>531</v>
      </c>
      <c r="H411">
        <v>6.4516252357665104E-3</v>
      </c>
      <c r="I411">
        <v>3.4162367488430802E-2</v>
      </c>
      <c r="J411">
        <v>2.2153434841418799E-2</v>
      </c>
      <c r="K411" t="s">
        <v>1124</v>
      </c>
      <c r="L411">
        <v>2</v>
      </c>
    </row>
    <row r="412" spans="1:12">
      <c r="A412" t="s">
        <v>1337</v>
      </c>
      <c r="B412" t="s">
        <v>11</v>
      </c>
      <c r="C412" t="s">
        <v>1337</v>
      </c>
      <c r="D412" t="s">
        <v>1338</v>
      </c>
      <c r="F412" t="s">
        <v>694</v>
      </c>
      <c r="G412" t="s">
        <v>531</v>
      </c>
      <c r="H412">
        <v>6.4516252357665104E-3</v>
      </c>
      <c r="I412">
        <v>3.4162367488430802E-2</v>
      </c>
      <c r="J412">
        <v>2.2153434841418799E-2</v>
      </c>
      <c r="K412" t="s">
        <v>1026</v>
      </c>
      <c r="L412">
        <v>2</v>
      </c>
    </row>
    <row r="413" spans="1:12">
      <c r="A413" t="s">
        <v>1339</v>
      </c>
      <c r="B413" t="s">
        <v>11</v>
      </c>
      <c r="C413" t="s">
        <v>1339</v>
      </c>
      <c r="D413" t="s">
        <v>1340</v>
      </c>
      <c r="F413" t="s">
        <v>694</v>
      </c>
      <c r="G413" t="s">
        <v>531</v>
      </c>
      <c r="H413">
        <v>6.4516252357665104E-3</v>
      </c>
      <c r="I413">
        <v>3.4162367488430802E-2</v>
      </c>
      <c r="J413">
        <v>2.2153434841418799E-2</v>
      </c>
      <c r="K413" t="s">
        <v>1066</v>
      </c>
      <c r="L413">
        <v>2</v>
      </c>
    </row>
    <row r="414" spans="1:12">
      <c r="A414" t="s">
        <v>1341</v>
      </c>
      <c r="B414" t="s">
        <v>11</v>
      </c>
      <c r="C414" t="s">
        <v>1341</v>
      </c>
      <c r="D414" t="s">
        <v>1342</v>
      </c>
      <c r="F414" t="s">
        <v>694</v>
      </c>
      <c r="G414" t="s">
        <v>531</v>
      </c>
      <c r="H414">
        <v>6.4516252357665104E-3</v>
      </c>
      <c r="I414">
        <v>3.4162367488430802E-2</v>
      </c>
      <c r="J414">
        <v>2.2153434841418799E-2</v>
      </c>
      <c r="K414" t="s">
        <v>1116</v>
      </c>
      <c r="L414">
        <v>2</v>
      </c>
    </row>
    <row r="415" spans="1:12">
      <c r="A415" t="s">
        <v>1343</v>
      </c>
      <c r="B415" t="s">
        <v>11</v>
      </c>
      <c r="C415" t="s">
        <v>1343</v>
      </c>
      <c r="D415" t="s">
        <v>1344</v>
      </c>
      <c r="F415" t="s">
        <v>694</v>
      </c>
      <c r="G415" t="s">
        <v>531</v>
      </c>
      <c r="H415">
        <v>6.4516252357665104E-3</v>
      </c>
      <c r="I415">
        <v>3.4162367488430802E-2</v>
      </c>
      <c r="J415">
        <v>2.2153434841418799E-2</v>
      </c>
      <c r="K415" t="s">
        <v>1137</v>
      </c>
      <c r="L415">
        <v>2</v>
      </c>
    </row>
    <row r="416" spans="1:12">
      <c r="A416" t="s">
        <v>1345</v>
      </c>
      <c r="B416" t="s">
        <v>11</v>
      </c>
      <c r="C416" t="s">
        <v>1345</v>
      </c>
      <c r="D416" t="s">
        <v>1346</v>
      </c>
      <c r="F416" t="s">
        <v>182</v>
      </c>
      <c r="G416" t="s">
        <v>755</v>
      </c>
      <c r="H416">
        <v>6.4648347048330002E-3</v>
      </c>
      <c r="I416">
        <v>3.4162367488430802E-2</v>
      </c>
      <c r="J416">
        <v>2.2153434841418799E-2</v>
      </c>
      <c r="K416" t="s">
        <v>1318</v>
      </c>
      <c r="L416">
        <v>4</v>
      </c>
    </row>
    <row r="417" spans="1:12">
      <c r="A417" t="s">
        <v>1347</v>
      </c>
      <c r="B417" t="s">
        <v>11</v>
      </c>
      <c r="C417" t="s">
        <v>1347</v>
      </c>
      <c r="D417" t="s">
        <v>1348</v>
      </c>
      <c r="F417" t="s">
        <v>182</v>
      </c>
      <c r="G417" t="s">
        <v>1349</v>
      </c>
      <c r="H417">
        <v>6.5879036513259402E-3</v>
      </c>
      <c r="I417">
        <v>3.46314264730005E-2</v>
      </c>
      <c r="J417">
        <v>2.2457607778349101E-2</v>
      </c>
      <c r="K417" t="s">
        <v>1350</v>
      </c>
      <c r="L417">
        <v>4</v>
      </c>
    </row>
    <row r="418" spans="1:12">
      <c r="A418" t="s">
        <v>1351</v>
      </c>
      <c r="B418" t="s">
        <v>11</v>
      </c>
      <c r="C418" t="s">
        <v>1351</v>
      </c>
      <c r="D418" t="s">
        <v>1352</v>
      </c>
      <c r="F418" t="s">
        <v>312</v>
      </c>
      <c r="G418" t="s">
        <v>1353</v>
      </c>
      <c r="H418">
        <v>6.6325577376471498E-3</v>
      </c>
      <c r="I418">
        <v>3.46314264730005E-2</v>
      </c>
      <c r="J418">
        <v>2.2457607778349101E-2</v>
      </c>
      <c r="K418" t="s">
        <v>1354</v>
      </c>
      <c r="L418">
        <v>3</v>
      </c>
    </row>
    <row r="419" spans="1:12">
      <c r="A419" t="s">
        <v>1355</v>
      </c>
      <c r="B419" t="s">
        <v>11</v>
      </c>
      <c r="C419" t="s">
        <v>1355</v>
      </c>
      <c r="D419" t="s">
        <v>1356</v>
      </c>
      <c r="F419" t="s">
        <v>312</v>
      </c>
      <c r="G419" t="s">
        <v>1353</v>
      </c>
      <c r="H419">
        <v>6.6325577376471498E-3</v>
      </c>
      <c r="I419">
        <v>3.46314264730005E-2</v>
      </c>
      <c r="J419">
        <v>2.2457607778349101E-2</v>
      </c>
      <c r="K419" t="s">
        <v>815</v>
      </c>
      <c r="L419">
        <v>3</v>
      </c>
    </row>
    <row r="420" spans="1:12">
      <c r="A420" t="s">
        <v>1357</v>
      </c>
      <c r="B420" t="s">
        <v>11</v>
      </c>
      <c r="C420" t="s">
        <v>1357</v>
      </c>
      <c r="D420" t="s">
        <v>1358</v>
      </c>
      <c r="F420" t="s">
        <v>312</v>
      </c>
      <c r="G420" t="s">
        <v>1353</v>
      </c>
      <c r="H420">
        <v>6.6325577376471498E-3</v>
      </c>
      <c r="I420">
        <v>3.46314264730005E-2</v>
      </c>
      <c r="J420">
        <v>2.2457607778349101E-2</v>
      </c>
      <c r="K420" t="s">
        <v>875</v>
      </c>
      <c r="L420">
        <v>3</v>
      </c>
    </row>
    <row r="421" spans="1:12">
      <c r="A421" t="s">
        <v>1359</v>
      </c>
      <c r="B421" t="s">
        <v>11</v>
      </c>
      <c r="C421" t="s">
        <v>1359</v>
      </c>
      <c r="D421" t="s">
        <v>1360</v>
      </c>
      <c r="F421" t="s">
        <v>312</v>
      </c>
      <c r="G421" t="s">
        <v>1353</v>
      </c>
      <c r="H421">
        <v>6.6325577376471498E-3</v>
      </c>
      <c r="I421">
        <v>3.46314264730005E-2</v>
      </c>
      <c r="J421">
        <v>2.2457607778349101E-2</v>
      </c>
      <c r="K421" t="s">
        <v>597</v>
      </c>
      <c r="L421">
        <v>3</v>
      </c>
    </row>
    <row r="422" spans="1:12">
      <c r="A422" t="s">
        <v>1361</v>
      </c>
      <c r="B422" t="s">
        <v>11</v>
      </c>
      <c r="C422" t="s">
        <v>1361</v>
      </c>
      <c r="D422" t="s">
        <v>1362</v>
      </c>
      <c r="F422" t="s">
        <v>129</v>
      </c>
      <c r="G422" t="s">
        <v>347</v>
      </c>
      <c r="H422">
        <v>6.8007873235544202E-3</v>
      </c>
      <c r="I422">
        <v>3.5341532228802999E-2</v>
      </c>
      <c r="J422">
        <v>2.2918093474986301E-2</v>
      </c>
      <c r="K422" t="s">
        <v>1363</v>
      </c>
      <c r="L422">
        <v>5</v>
      </c>
    </row>
    <row r="423" spans="1:12">
      <c r="A423" t="s">
        <v>1364</v>
      </c>
      <c r="B423" t="s">
        <v>11</v>
      </c>
      <c r="C423" t="s">
        <v>1364</v>
      </c>
      <c r="D423" t="s">
        <v>1365</v>
      </c>
      <c r="F423" t="s">
        <v>129</v>
      </c>
      <c r="G423" t="s">
        <v>347</v>
      </c>
      <c r="H423">
        <v>6.8007873235544202E-3</v>
      </c>
      <c r="I423">
        <v>3.5341532228802999E-2</v>
      </c>
      <c r="J423">
        <v>2.2918093474986301E-2</v>
      </c>
      <c r="K423" t="s">
        <v>1366</v>
      </c>
      <c r="L423">
        <v>5</v>
      </c>
    </row>
    <row r="424" spans="1:12">
      <c r="A424" t="s">
        <v>1367</v>
      </c>
      <c r="B424" t="s">
        <v>11</v>
      </c>
      <c r="C424" t="s">
        <v>1367</v>
      </c>
      <c r="D424" t="s">
        <v>1368</v>
      </c>
      <c r="F424" t="s">
        <v>694</v>
      </c>
      <c r="G424" t="s">
        <v>1369</v>
      </c>
      <c r="H424">
        <v>6.8787106970821001E-3</v>
      </c>
      <c r="I424">
        <v>3.56619682238795E-2</v>
      </c>
      <c r="J424">
        <v>2.3125888146716199E-2</v>
      </c>
      <c r="K424" t="s">
        <v>1116</v>
      </c>
      <c r="L424">
        <v>2</v>
      </c>
    </row>
    <row r="425" spans="1:12">
      <c r="A425" t="s">
        <v>1370</v>
      </c>
      <c r="B425" t="s">
        <v>11</v>
      </c>
      <c r="C425" t="s">
        <v>1370</v>
      </c>
      <c r="D425" t="s">
        <v>1371</v>
      </c>
      <c r="F425" t="s">
        <v>182</v>
      </c>
      <c r="G425" t="s">
        <v>784</v>
      </c>
      <c r="H425">
        <v>7.0957357927041703E-3</v>
      </c>
      <c r="I425">
        <v>3.6700350456132701E-2</v>
      </c>
      <c r="J425">
        <v>2.3799252869769898E-2</v>
      </c>
      <c r="K425" t="s">
        <v>1372</v>
      </c>
      <c r="L425">
        <v>4</v>
      </c>
    </row>
    <row r="426" spans="1:12">
      <c r="A426" t="s">
        <v>1373</v>
      </c>
      <c r="B426" t="s">
        <v>11</v>
      </c>
      <c r="C426" t="s">
        <v>1373</v>
      </c>
      <c r="D426" t="s">
        <v>1374</v>
      </c>
      <c r="F426" t="s">
        <v>129</v>
      </c>
      <c r="G426" t="s">
        <v>1375</v>
      </c>
      <c r="H426">
        <v>7.1869802469545401E-3</v>
      </c>
      <c r="I426">
        <v>3.6979345526906397E-2</v>
      </c>
      <c r="J426">
        <v>2.3980174145895101E-2</v>
      </c>
      <c r="K426" t="s">
        <v>1328</v>
      </c>
      <c r="L426">
        <v>5</v>
      </c>
    </row>
    <row r="427" spans="1:12">
      <c r="A427" t="s">
        <v>1376</v>
      </c>
      <c r="B427" t="s">
        <v>11</v>
      </c>
      <c r="C427" t="s">
        <v>1376</v>
      </c>
      <c r="D427" t="s">
        <v>1377</v>
      </c>
      <c r="F427" t="s">
        <v>312</v>
      </c>
      <c r="G427" t="s">
        <v>68</v>
      </c>
      <c r="H427">
        <v>7.2258995015000204E-3</v>
      </c>
      <c r="I427">
        <v>3.6979345526906397E-2</v>
      </c>
      <c r="J427">
        <v>2.3980174145895101E-2</v>
      </c>
      <c r="K427" t="s">
        <v>1091</v>
      </c>
      <c r="L427">
        <v>3</v>
      </c>
    </row>
    <row r="428" spans="1:12">
      <c r="A428" t="s">
        <v>1378</v>
      </c>
      <c r="B428" t="s">
        <v>11</v>
      </c>
      <c r="C428" t="s">
        <v>1378</v>
      </c>
      <c r="D428" t="s">
        <v>1379</v>
      </c>
      <c r="F428" t="s">
        <v>694</v>
      </c>
      <c r="G428" t="s">
        <v>1380</v>
      </c>
      <c r="H428">
        <v>7.3183018507420698E-3</v>
      </c>
      <c r="I428">
        <v>3.6979345526906397E-2</v>
      </c>
      <c r="J428">
        <v>2.3980174145895101E-2</v>
      </c>
      <c r="K428" t="s">
        <v>794</v>
      </c>
      <c r="L428">
        <v>2</v>
      </c>
    </row>
    <row r="429" spans="1:12">
      <c r="A429" t="s">
        <v>1381</v>
      </c>
      <c r="B429" t="s">
        <v>11</v>
      </c>
      <c r="C429" t="s">
        <v>1381</v>
      </c>
      <c r="D429" t="s">
        <v>1382</v>
      </c>
      <c r="F429" t="s">
        <v>694</v>
      </c>
      <c r="G429" t="s">
        <v>1380</v>
      </c>
      <c r="H429">
        <v>7.3183018507420698E-3</v>
      </c>
      <c r="I429">
        <v>3.6979345526906397E-2</v>
      </c>
      <c r="J429">
        <v>2.3980174145895101E-2</v>
      </c>
      <c r="K429" t="s">
        <v>1004</v>
      </c>
      <c r="L429">
        <v>2</v>
      </c>
    </row>
    <row r="430" spans="1:12">
      <c r="A430" t="s">
        <v>1383</v>
      </c>
      <c r="B430" t="s">
        <v>11</v>
      </c>
      <c r="C430" t="s">
        <v>1383</v>
      </c>
      <c r="D430" t="s">
        <v>1384</v>
      </c>
      <c r="F430" t="s">
        <v>694</v>
      </c>
      <c r="G430" t="s">
        <v>1380</v>
      </c>
      <c r="H430">
        <v>7.3183018507420698E-3</v>
      </c>
      <c r="I430">
        <v>3.6979345526906397E-2</v>
      </c>
      <c r="J430">
        <v>2.3980174145895101E-2</v>
      </c>
      <c r="K430" t="s">
        <v>794</v>
      </c>
      <c r="L430">
        <v>2</v>
      </c>
    </row>
    <row r="431" spans="1:12">
      <c r="A431" t="s">
        <v>1385</v>
      </c>
      <c r="B431" t="s">
        <v>11</v>
      </c>
      <c r="C431" t="s">
        <v>1385</v>
      </c>
      <c r="D431" t="s">
        <v>1386</v>
      </c>
      <c r="F431" t="s">
        <v>694</v>
      </c>
      <c r="G431" t="s">
        <v>1380</v>
      </c>
      <c r="H431">
        <v>7.3183018507420698E-3</v>
      </c>
      <c r="I431">
        <v>3.6979345526906397E-2</v>
      </c>
      <c r="J431">
        <v>2.3980174145895101E-2</v>
      </c>
      <c r="K431" t="s">
        <v>1387</v>
      </c>
      <c r="L431">
        <v>2</v>
      </c>
    </row>
    <row r="432" spans="1:12">
      <c r="A432" t="s">
        <v>1388</v>
      </c>
      <c r="B432" t="s">
        <v>11</v>
      </c>
      <c r="C432" t="s">
        <v>1388</v>
      </c>
      <c r="D432" t="s">
        <v>1389</v>
      </c>
      <c r="F432" t="s">
        <v>694</v>
      </c>
      <c r="G432" t="s">
        <v>1380</v>
      </c>
      <c r="H432">
        <v>7.3183018507420698E-3</v>
      </c>
      <c r="I432">
        <v>3.6979345526906397E-2</v>
      </c>
      <c r="J432">
        <v>2.3980174145895101E-2</v>
      </c>
      <c r="K432" t="s">
        <v>794</v>
      </c>
      <c r="L432">
        <v>2</v>
      </c>
    </row>
    <row r="433" spans="1:12">
      <c r="A433" t="s">
        <v>1390</v>
      </c>
      <c r="B433" t="s">
        <v>11</v>
      </c>
      <c r="C433" t="s">
        <v>1390</v>
      </c>
      <c r="D433" t="s">
        <v>1391</v>
      </c>
      <c r="F433" t="s">
        <v>694</v>
      </c>
      <c r="G433" t="s">
        <v>1380</v>
      </c>
      <c r="H433">
        <v>7.3183018507420698E-3</v>
      </c>
      <c r="I433">
        <v>3.6979345526906397E-2</v>
      </c>
      <c r="J433">
        <v>2.3980174145895101E-2</v>
      </c>
      <c r="K433" t="s">
        <v>1392</v>
      </c>
      <c r="L433">
        <v>2</v>
      </c>
    </row>
    <row r="434" spans="1:12">
      <c r="A434" t="s">
        <v>1393</v>
      </c>
      <c r="B434" t="s">
        <v>11</v>
      </c>
      <c r="C434" t="s">
        <v>1393</v>
      </c>
      <c r="D434" t="s">
        <v>1394</v>
      </c>
      <c r="F434" t="s">
        <v>694</v>
      </c>
      <c r="G434" t="s">
        <v>1380</v>
      </c>
      <c r="H434">
        <v>7.3183018507420698E-3</v>
      </c>
      <c r="I434">
        <v>3.6979345526906397E-2</v>
      </c>
      <c r="J434">
        <v>2.3980174145895101E-2</v>
      </c>
      <c r="K434" t="s">
        <v>1395</v>
      </c>
      <c r="L434">
        <v>2</v>
      </c>
    </row>
    <row r="435" spans="1:12">
      <c r="A435" t="s">
        <v>1396</v>
      </c>
      <c r="B435" t="s">
        <v>11</v>
      </c>
      <c r="C435" t="s">
        <v>1396</v>
      </c>
      <c r="D435" t="s">
        <v>1397</v>
      </c>
      <c r="F435" t="s">
        <v>694</v>
      </c>
      <c r="G435" t="s">
        <v>1380</v>
      </c>
      <c r="H435">
        <v>7.3183018507420698E-3</v>
      </c>
      <c r="I435">
        <v>3.6979345526906397E-2</v>
      </c>
      <c r="J435">
        <v>2.3980174145895101E-2</v>
      </c>
      <c r="K435" t="s">
        <v>1398</v>
      </c>
      <c r="L435">
        <v>2</v>
      </c>
    </row>
    <row r="436" spans="1:12">
      <c r="A436" t="s">
        <v>1399</v>
      </c>
      <c r="B436" t="s">
        <v>11</v>
      </c>
      <c r="C436" t="s">
        <v>1399</v>
      </c>
      <c r="D436" t="s">
        <v>1400</v>
      </c>
      <c r="F436" t="s">
        <v>182</v>
      </c>
      <c r="G436" t="s">
        <v>1401</v>
      </c>
      <c r="H436">
        <v>7.3590998561569396E-3</v>
      </c>
      <c r="I436">
        <v>3.7100013757591199E-2</v>
      </c>
      <c r="J436">
        <v>2.4058424454127099E-2</v>
      </c>
      <c r="K436" t="s">
        <v>1402</v>
      </c>
      <c r="L436">
        <v>4</v>
      </c>
    </row>
    <row r="437" spans="1:12">
      <c r="A437" t="s">
        <v>1403</v>
      </c>
      <c r="B437" t="s">
        <v>11</v>
      </c>
      <c r="C437" t="s">
        <v>1403</v>
      </c>
      <c r="D437" t="s">
        <v>1404</v>
      </c>
      <c r="F437" t="s">
        <v>129</v>
      </c>
      <c r="G437" t="s">
        <v>1405</v>
      </c>
      <c r="H437">
        <v>7.5882897289371301E-3</v>
      </c>
      <c r="I437">
        <v>3.8070505784269702E-2</v>
      </c>
      <c r="J437">
        <v>2.4687764088870499E-2</v>
      </c>
      <c r="K437" t="s">
        <v>1406</v>
      </c>
      <c r="L437">
        <v>5</v>
      </c>
    </row>
    <row r="438" spans="1:12">
      <c r="A438" t="s">
        <v>1407</v>
      </c>
      <c r="B438" t="s">
        <v>11</v>
      </c>
      <c r="C438" t="s">
        <v>1407</v>
      </c>
      <c r="D438" t="s">
        <v>1408</v>
      </c>
      <c r="F438" t="s">
        <v>129</v>
      </c>
      <c r="G438" t="s">
        <v>1405</v>
      </c>
      <c r="H438">
        <v>7.5882897289371301E-3</v>
      </c>
      <c r="I438">
        <v>3.8070505784269702E-2</v>
      </c>
      <c r="J438">
        <v>2.4687764088870499E-2</v>
      </c>
      <c r="K438" t="s">
        <v>1409</v>
      </c>
      <c r="L438">
        <v>5</v>
      </c>
    </row>
    <row r="439" spans="1:12">
      <c r="A439" t="s">
        <v>1410</v>
      </c>
      <c r="B439" t="s">
        <v>11</v>
      </c>
      <c r="C439" t="s">
        <v>1410</v>
      </c>
      <c r="D439" t="s">
        <v>1411</v>
      </c>
      <c r="F439" t="s">
        <v>312</v>
      </c>
      <c r="G439" t="s">
        <v>711</v>
      </c>
      <c r="H439">
        <v>7.63840517331448E-3</v>
      </c>
      <c r="I439">
        <v>3.8070505784269702E-2</v>
      </c>
      <c r="J439">
        <v>2.4687764088870499E-2</v>
      </c>
      <c r="K439" t="s">
        <v>875</v>
      </c>
      <c r="L439">
        <v>3</v>
      </c>
    </row>
    <row r="440" spans="1:12">
      <c r="A440" t="s">
        <v>1412</v>
      </c>
      <c r="B440" t="s">
        <v>11</v>
      </c>
      <c r="C440" t="s">
        <v>1412</v>
      </c>
      <c r="D440" t="s">
        <v>1413</v>
      </c>
      <c r="F440" t="s">
        <v>312</v>
      </c>
      <c r="G440" t="s">
        <v>711</v>
      </c>
      <c r="H440">
        <v>7.63840517331448E-3</v>
      </c>
      <c r="I440">
        <v>3.8070505784269702E-2</v>
      </c>
      <c r="J440">
        <v>2.4687764088870499E-2</v>
      </c>
      <c r="K440" t="s">
        <v>1414</v>
      </c>
      <c r="L440">
        <v>3</v>
      </c>
    </row>
    <row r="441" spans="1:12">
      <c r="A441" t="s">
        <v>1415</v>
      </c>
      <c r="B441" t="s">
        <v>11</v>
      </c>
      <c r="C441" t="s">
        <v>1415</v>
      </c>
      <c r="D441" t="s">
        <v>1416</v>
      </c>
      <c r="F441" t="s">
        <v>312</v>
      </c>
      <c r="G441" t="s">
        <v>711</v>
      </c>
      <c r="H441">
        <v>7.63840517331448E-3</v>
      </c>
      <c r="I441">
        <v>3.8070505784269702E-2</v>
      </c>
      <c r="J441">
        <v>2.4687764088870499E-2</v>
      </c>
      <c r="K441" t="s">
        <v>1417</v>
      </c>
      <c r="L441">
        <v>3</v>
      </c>
    </row>
    <row r="442" spans="1:12">
      <c r="A442" t="s">
        <v>1418</v>
      </c>
      <c r="B442" t="s">
        <v>11</v>
      </c>
      <c r="C442" t="s">
        <v>1418</v>
      </c>
      <c r="D442" t="s">
        <v>1419</v>
      </c>
      <c r="F442" t="s">
        <v>129</v>
      </c>
      <c r="G442" t="s">
        <v>1420</v>
      </c>
      <c r="H442">
        <v>7.6910135671744003E-3</v>
      </c>
      <c r="I442">
        <v>3.8159259621749902E-2</v>
      </c>
      <c r="J442">
        <v>2.4745318716962599E-2</v>
      </c>
      <c r="K442" t="s">
        <v>919</v>
      </c>
      <c r="L442">
        <v>5</v>
      </c>
    </row>
    <row r="443" spans="1:12">
      <c r="A443" t="s">
        <v>1421</v>
      </c>
      <c r="B443" t="s">
        <v>11</v>
      </c>
      <c r="C443" t="s">
        <v>1421</v>
      </c>
      <c r="D443" t="s">
        <v>1422</v>
      </c>
      <c r="F443" t="s">
        <v>129</v>
      </c>
      <c r="G443" t="s">
        <v>1420</v>
      </c>
      <c r="H443">
        <v>7.6910135671744003E-3</v>
      </c>
      <c r="I443">
        <v>3.8159259621749902E-2</v>
      </c>
      <c r="J443">
        <v>2.4745318716962599E-2</v>
      </c>
      <c r="K443" t="s">
        <v>1409</v>
      </c>
      <c r="L443">
        <v>5</v>
      </c>
    </row>
    <row r="444" spans="1:12">
      <c r="A444" t="s">
        <v>1423</v>
      </c>
      <c r="B444" t="s">
        <v>11</v>
      </c>
      <c r="C444" t="s">
        <v>1423</v>
      </c>
      <c r="D444" t="s">
        <v>1424</v>
      </c>
      <c r="F444" t="s">
        <v>694</v>
      </c>
      <c r="G444" t="s">
        <v>563</v>
      </c>
      <c r="H444">
        <v>7.7702939623642397E-3</v>
      </c>
      <c r="I444">
        <v>3.8206849012252901E-2</v>
      </c>
      <c r="J444">
        <v>2.4776179238031801E-2</v>
      </c>
      <c r="K444" t="s">
        <v>1425</v>
      </c>
      <c r="L444">
        <v>2</v>
      </c>
    </row>
    <row r="445" spans="1:12">
      <c r="A445" t="s">
        <v>1426</v>
      </c>
      <c r="B445" t="s">
        <v>11</v>
      </c>
      <c r="C445" t="s">
        <v>1426</v>
      </c>
      <c r="D445" t="s">
        <v>1427</v>
      </c>
      <c r="F445" t="s">
        <v>694</v>
      </c>
      <c r="G445" t="s">
        <v>563</v>
      </c>
      <c r="H445">
        <v>7.7702939623642397E-3</v>
      </c>
      <c r="I445">
        <v>3.8206849012252901E-2</v>
      </c>
      <c r="J445">
        <v>2.4776179238031801E-2</v>
      </c>
      <c r="K445" t="s">
        <v>1004</v>
      </c>
      <c r="L445">
        <v>2</v>
      </c>
    </row>
    <row r="446" spans="1:12">
      <c r="A446" t="s">
        <v>1428</v>
      </c>
      <c r="B446" t="s">
        <v>11</v>
      </c>
      <c r="C446" t="s">
        <v>1428</v>
      </c>
      <c r="D446" t="s">
        <v>1429</v>
      </c>
      <c r="F446" t="s">
        <v>694</v>
      </c>
      <c r="G446" t="s">
        <v>563</v>
      </c>
      <c r="H446">
        <v>7.7702939623642397E-3</v>
      </c>
      <c r="I446">
        <v>3.8206849012252901E-2</v>
      </c>
      <c r="J446">
        <v>2.4776179238031801E-2</v>
      </c>
      <c r="K446" t="s">
        <v>1289</v>
      </c>
      <c r="L446">
        <v>2</v>
      </c>
    </row>
    <row r="447" spans="1:12">
      <c r="A447" t="s">
        <v>1430</v>
      </c>
      <c r="B447" t="s">
        <v>11</v>
      </c>
      <c r="C447" t="s">
        <v>1430</v>
      </c>
      <c r="D447" t="s">
        <v>1431</v>
      </c>
      <c r="F447" t="s">
        <v>694</v>
      </c>
      <c r="G447" t="s">
        <v>563</v>
      </c>
      <c r="H447">
        <v>7.7702939623642397E-3</v>
      </c>
      <c r="I447">
        <v>3.8206849012252901E-2</v>
      </c>
      <c r="J447">
        <v>2.4776179238031801E-2</v>
      </c>
      <c r="K447" t="s">
        <v>1137</v>
      </c>
      <c r="L447">
        <v>2</v>
      </c>
    </row>
    <row r="448" spans="1:12">
      <c r="A448" t="s">
        <v>1432</v>
      </c>
      <c r="B448" t="s">
        <v>11</v>
      </c>
      <c r="C448" t="s">
        <v>1432</v>
      </c>
      <c r="D448" t="s">
        <v>1433</v>
      </c>
      <c r="F448" t="s">
        <v>312</v>
      </c>
      <c r="G448" t="s">
        <v>404</v>
      </c>
      <c r="H448">
        <v>7.8497817019603008E-3</v>
      </c>
      <c r="I448">
        <v>3.8511345128409299E-2</v>
      </c>
      <c r="J448">
        <v>2.4973637299772401E-2</v>
      </c>
      <c r="K448" t="s">
        <v>567</v>
      </c>
      <c r="L448">
        <v>3</v>
      </c>
    </row>
    <row r="449" spans="1:12">
      <c r="A449" t="s">
        <v>1434</v>
      </c>
      <c r="B449" t="s">
        <v>11</v>
      </c>
      <c r="C449" t="s">
        <v>1434</v>
      </c>
      <c r="D449" t="s">
        <v>1435</v>
      </c>
      <c r="F449" t="s">
        <v>119</v>
      </c>
      <c r="G449" t="s">
        <v>1436</v>
      </c>
      <c r="H449">
        <v>7.91497125798208E-3</v>
      </c>
      <c r="I449">
        <v>3.8744491001684603E-2</v>
      </c>
      <c r="J449">
        <v>2.5124826526160202E-2</v>
      </c>
      <c r="K449" t="s">
        <v>1437</v>
      </c>
      <c r="L449">
        <v>6</v>
      </c>
    </row>
    <row r="450" spans="1:12">
      <c r="A450" t="s">
        <v>1438</v>
      </c>
      <c r="B450" t="s">
        <v>11</v>
      </c>
      <c r="C450" t="s">
        <v>1438</v>
      </c>
      <c r="D450" t="s">
        <v>1439</v>
      </c>
      <c r="F450" t="s">
        <v>694</v>
      </c>
      <c r="G450" t="s">
        <v>1440</v>
      </c>
      <c r="H450">
        <v>8.2345829181996802E-3</v>
      </c>
      <c r="I450">
        <v>3.98339509026484E-2</v>
      </c>
      <c r="J450">
        <v>2.5831313830838799E-2</v>
      </c>
      <c r="K450" t="s">
        <v>797</v>
      </c>
      <c r="L450">
        <v>2</v>
      </c>
    </row>
    <row r="451" spans="1:12">
      <c r="A451" t="s">
        <v>1441</v>
      </c>
      <c r="B451" t="s">
        <v>11</v>
      </c>
      <c r="C451" t="s">
        <v>1441</v>
      </c>
      <c r="D451" t="s">
        <v>1442</v>
      </c>
      <c r="F451" t="s">
        <v>694</v>
      </c>
      <c r="G451" t="s">
        <v>1440</v>
      </c>
      <c r="H451">
        <v>8.2345829181996802E-3</v>
      </c>
      <c r="I451">
        <v>3.98339509026484E-2</v>
      </c>
      <c r="J451">
        <v>2.5831313830838799E-2</v>
      </c>
      <c r="K451" t="s">
        <v>1443</v>
      </c>
      <c r="L451">
        <v>2</v>
      </c>
    </row>
    <row r="452" spans="1:12">
      <c r="A452" t="s">
        <v>1444</v>
      </c>
      <c r="B452" t="s">
        <v>11</v>
      </c>
      <c r="C452" t="s">
        <v>1444</v>
      </c>
      <c r="D452" t="s">
        <v>1445</v>
      </c>
      <c r="F452" t="s">
        <v>694</v>
      </c>
      <c r="G452" t="s">
        <v>1440</v>
      </c>
      <c r="H452">
        <v>8.2345829181996802E-3</v>
      </c>
      <c r="I452">
        <v>3.98339509026484E-2</v>
      </c>
      <c r="J452">
        <v>2.5831313830838799E-2</v>
      </c>
      <c r="K452" t="s">
        <v>1446</v>
      </c>
      <c r="L452">
        <v>2</v>
      </c>
    </row>
    <row r="453" spans="1:12">
      <c r="A453" t="s">
        <v>1447</v>
      </c>
      <c r="B453" t="s">
        <v>11</v>
      </c>
      <c r="C453" t="s">
        <v>1447</v>
      </c>
      <c r="D453" t="s">
        <v>1448</v>
      </c>
      <c r="F453" t="s">
        <v>694</v>
      </c>
      <c r="G453" t="s">
        <v>1440</v>
      </c>
      <c r="H453">
        <v>8.2345829181996802E-3</v>
      </c>
      <c r="I453">
        <v>3.98339509026484E-2</v>
      </c>
      <c r="J453">
        <v>2.5831313830838799E-2</v>
      </c>
      <c r="K453" t="s">
        <v>1449</v>
      </c>
      <c r="L453">
        <v>2</v>
      </c>
    </row>
    <row r="454" spans="1:12">
      <c r="A454" t="s">
        <v>1450</v>
      </c>
      <c r="B454" t="s">
        <v>11</v>
      </c>
      <c r="C454" t="s">
        <v>1450</v>
      </c>
      <c r="D454" t="s">
        <v>1451</v>
      </c>
      <c r="F454" t="s">
        <v>312</v>
      </c>
      <c r="G454" t="s">
        <v>191</v>
      </c>
      <c r="H454">
        <v>8.2828461521238794E-3</v>
      </c>
      <c r="I454">
        <v>3.98339509026484E-2</v>
      </c>
      <c r="J454">
        <v>2.5831313830838799E-2</v>
      </c>
      <c r="K454" t="s">
        <v>1452</v>
      </c>
      <c r="L454">
        <v>3</v>
      </c>
    </row>
    <row r="455" spans="1:12">
      <c r="A455" t="s">
        <v>1453</v>
      </c>
      <c r="B455" t="s">
        <v>11</v>
      </c>
      <c r="C455" t="s">
        <v>1453</v>
      </c>
      <c r="D455" t="s">
        <v>1454</v>
      </c>
      <c r="F455" t="s">
        <v>312</v>
      </c>
      <c r="G455" t="s">
        <v>191</v>
      </c>
      <c r="H455">
        <v>8.2828461521238794E-3</v>
      </c>
      <c r="I455">
        <v>3.98339509026484E-2</v>
      </c>
      <c r="J455">
        <v>2.5831313830838799E-2</v>
      </c>
      <c r="K455" t="s">
        <v>993</v>
      </c>
      <c r="L455">
        <v>3</v>
      </c>
    </row>
    <row r="456" spans="1:12">
      <c r="A456" t="s">
        <v>1455</v>
      </c>
      <c r="B456" t="s">
        <v>11</v>
      </c>
      <c r="C456" t="s">
        <v>1455</v>
      </c>
      <c r="D456" t="s">
        <v>1456</v>
      </c>
      <c r="F456" t="s">
        <v>312</v>
      </c>
      <c r="G456" t="s">
        <v>191</v>
      </c>
      <c r="H456">
        <v>8.2828461521238794E-3</v>
      </c>
      <c r="I456">
        <v>3.98339509026484E-2</v>
      </c>
      <c r="J456">
        <v>2.5831313830838799E-2</v>
      </c>
      <c r="K456" t="s">
        <v>1145</v>
      </c>
      <c r="L456">
        <v>3</v>
      </c>
    </row>
    <row r="457" spans="1:12">
      <c r="A457" t="s">
        <v>1457</v>
      </c>
      <c r="B457" t="s">
        <v>11</v>
      </c>
      <c r="C457" t="s">
        <v>1457</v>
      </c>
      <c r="D457" t="s">
        <v>1458</v>
      </c>
      <c r="F457" t="s">
        <v>312</v>
      </c>
      <c r="G457" t="s">
        <v>191</v>
      </c>
      <c r="H457">
        <v>8.2828461521238794E-3</v>
      </c>
      <c r="I457">
        <v>3.98339509026484E-2</v>
      </c>
      <c r="J457">
        <v>2.5831313830838799E-2</v>
      </c>
      <c r="K457" t="s">
        <v>1233</v>
      </c>
      <c r="L457">
        <v>3</v>
      </c>
    </row>
    <row r="458" spans="1:12">
      <c r="A458" t="s">
        <v>1459</v>
      </c>
      <c r="B458" t="s">
        <v>11</v>
      </c>
      <c r="C458" t="s">
        <v>1459</v>
      </c>
      <c r="D458" t="s">
        <v>1460</v>
      </c>
      <c r="F458" t="s">
        <v>182</v>
      </c>
      <c r="G458" t="s">
        <v>830</v>
      </c>
      <c r="H458">
        <v>8.3315634444744904E-3</v>
      </c>
      <c r="I458">
        <v>3.9980565938145599E-2</v>
      </c>
      <c r="J458">
        <v>2.59263899884488E-2</v>
      </c>
      <c r="K458" t="s">
        <v>1461</v>
      </c>
      <c r="L458">
        <v>4</v>
      </c>
    </row>
    <row r="459" spans="1:12">
      <c r="A459" t="s">
        <v>1462</v>
      </c>
      <c r="B459" t="s">
        <v>11</v>
      </c>
      <c r="C459" t="s">
        <v>1462</v>
      </c>
      <c r="D459" t="s">
        <v>1463</v>
      </c>
      <c r="F459" t="s">
        <v>129</v>
      </c>
      <c r="G459" t="s">
        <v>541</v>
      </c>
      <c r="H459">
        <v>8.4374307582061898E-3</v>
      </c>
      <c r="I459">
        <v>4.0400187014729597E-2</v>
      </c>
      <c r="J459">
        <v>2.6198503687282399E-2</v>
      </c>
      <c r="K459" t="s">
        <v>919</v>
      </c>
      <c r="L459">
        <v>5</v>
      </c>
    </row>
    <row r="460" spans="1:12">
      <c r="A460" t="s">
        <v>1464</v>
      </c>
      <c r="B460" t="s">
        <v>11</v>
      </c>
      <c r="C460" t="s">
        <v>1464</v>
      </c>
      <c r="D460" t="s">
        <v>1465</v>
      </c>
      <c r="F460" t="s">
        <v>312</v>
      </c>
      <c r="G460" t="s">
        <v>1466</v>
      </c>
      <c r="H460">
        <v>8.5045587225792297E-3</v>
      </c>
      <c r="I460">
        <v>4.0456610148842199E-2</v>
      </c>
      <c r="J460">
        <v>2.6235092668579801E-2</v>
      </c>
      <c r="K460" t="s">
        <v>922</v>
      </c>
      <c r="L460">
        <v>3</v>
      </c>
    </row>
    <row r="461" spans="1:12">
      <c r="A461" t="s">
        <v>1467</v>
      </c>
      <c r="B461" t="s">
        <v>11</v>
      </c>
      <c r="C461" t="s">
        <v>1467</v>
      </c>
      <c r="D461" t="s">
        <v>1468</v>
      </c>
      <c r="F461" t="s">
        <v>312</v>
      </c>
      <c r="G461" t="s">
        <v>1466</v>
      </c>
      <c r="H461">
        <v>8.5045587225792297E-3</v>
      </c>
      <c r="I461">
        <v>4.0456610148842199E-2</v>
      </c>
      <c r="J461">
        <v>2.6235092668579801E-2</v>
      </c>
      <c r="K461" t="s">
        <v>993</v>
      </c>
      <c r="L461">
        <v>3</v>
      </c>
    </row>
    <row r="462" spans="1:12">
      <c r="A462" t="s">
        <v>1469</v>
      </c>
      <c r="B462" t="s">
        <v>11</v>
      </c>
      <c r="C462" t="s">
        <v>1469</v>
      </c>
      <c r="D462" t="s">
        <v>1470</v>
      </c>
      <c r="F462" t="s">
        <v>312</v>
      </c>
      <c r="G462" t="s">
        <v>1466</v>
      </c>
      <c r="H462">
        <v>8.5045587225792297E-3</v>
      </c>
      <c r="I462">
        <v>4.0456610148842199E-2</v>
      </c>
      <c r="J462">
        <v>2.6235092668579801E-2</v>
      </c>
      <c r="K462" t="s">
        <v>875</v>
      </c>
      <c r="L462">
        <v>3</v>
      </c>
    </row>
    <row r="463" spans="1:12">
      <c r="A463" t="s">
        <v>1471</v>
      </c>
      <c r="B463" t="s">
        <v>11</v>
      </c>
      <c r="C463" t="s">
        <v>1471</v>
      </c>
      <c r="D463" t="s">
        <v>1472</v>
      </c>
      <c r="F463" t="s">
        <v>129</v>
      </c>
      <c r="G463" t="s">
        <v>221</v>
      </c>
      <c r="H463">
        <v>8.6596192342198904E-3</v>
      </c>
      <c r="I463">
        <v>4.0906565378414E-2</v>
      </c>
      <c r="J463">
        <v>2.6526877301575501E-2</v>
      </c>
      <c r="K463" t="s">
        <v>1473</v>
      </c>
      <c r="L463">
        <v>5</v>
      </c>
    </row>
    <row r="464" spans="1:12">
      <c r="A464" t="s">
        <v>1474</v>
      </c>
      <c r="B464" t="s">
        <v>11</v>
      </c>
      <c r="C464" t="s">
        <v>1474</v>
      </c>
      <c r="D464" t="s">
        <v>1475</v>
      </c>
      <c r="F464" t="s">
        <v>694</v>
      </c>
      <c r="G464" t="s">
        <v>596</v>
      </c>
      <c r="H464">
        <v>8.7110652219422394E-3</v>
      </c>
      <c r="I464">
        <v>4.0906565378414E-2</v>
      </c>
      <c r="J464">
        <v>2.6526877301575501E-2</v>
      </c>
      <c r="K464" t="s">
        <v>1476</v>
      </c>
      <c r="L464">
        <v>2</v>
      </c>
    </row>
    <row r="465" spans="1:12">
      <c r="A465" t="s">
        <v>1477</v>
      </c>
      <c r="B465" t="s">
        <v>11</v>
      </c>
      <c r="C465" t="s">
        <v>1477</v>
      </c>
      <c r="D465" t="s">
        <v>1478</v>
      </c>
      <c r="F465" t="s">
        <v>694</v>
      </c>
      <c r="G465" t="s">
        <v>596</v>
      </c>
      <c r="H465">
        <v>8.7110652219422394E-3</v>
      </c>
      <c r="I465">
        <v>4.0906565378414E-2</v>
      </c>
      <c r="J465">
        <v>2.6526877301575501E-2</v>
      </c>
      <c r="K465" t="s">
        <v>1479</v>
      </c>
      <c r="L465">
        <v>2</v>
      </c>
    </row>
    <row r="466" spans="1:12">
      <c r="A466" t="s">
        <v>1480</v>
      </c>
      <c r="B466" t="s">
        <v>11</v>
      </c>
      <c r="C466" t="s">
        <v>1480</v>
      </c>
      <c r="D466" t="s">
        <v>1481</v>
      </c>
      <c r="F466" t="s">
        <v>694</v>
      </c>
      <c r="G466" t="s">
        <v>596</v>
      </c>
      <c r="H466">
        <v>8.7110652219422394E-3</v>
      </c>
      <c r="I466">
        <v>4.0906565378414E-2</v>
      </c>
      <c r="J466">
        <v>2.6526877301575501E-2</v>
      </c>
      <c r="K466" t="s">
        <v>797</v>
      </c>
      <c r="L466">
        <v>2</v>
      </c>
    </row>
    <row r="467" spans="1:12">
      <c r="A467" t="s">
        <v>1482</v>
      </c>
      <c r="B467" t="s">
        <v>11</v>
      </c>
      <c r="C467" t="s">
        <v>1482</v>
      </c>
      <c r="D467" t="s">
        <v>1483</v>
      </c>
      <c r="F467" t="s">
        <v>694</v>
      </c>
      <c r="G467" t="s">
        <v>596</v>
      </c>
      <c r="H467">
        <v>8.7110652219422394E-3</v>
      </c>
      <c r="I467">
        <v>4.0906565378414E-2</v>
      </c>
      <c r="J467">
        <v>2.6526877301575501E-2</v>
      </c>
      <c r="K467" t="s">
        <v>1484</v>
      </c>
      <c r="L467">
        <v>2</v>
      </c>
    </row>
    <row r="468" spans="1:12">
      <c r="A468" t="s">
        <v>1485</v>
      </c>
      <c r="B468" t="s">
        <v>11</v>
      </c>
      <c r="C468" t="s">
        <v>1485</v>
      </c>
      <c r="D468" t="s">
        <v>1486</v>
      </c>
      <c r="F468" t="s">
        <v>694</v>
      </c>
      <c r="G468" t="s">
        <v>596</v>
      </c>
      <c r="H468">
        <v>8.7110652219422394E-3</v>
      </c>
      <c r="I468">
        <v>4.0906565378414E-2</v>
      </c>
      <c r="J468">
        <v>2.6526877301575501E-2</v>
      </c>
      <c r="K468" t="s">
        <v>797</v>
      </c>
      <c r="L468">
        <v>2</v>
      </c>
    </row>
    <row r="469" spans="1:12">
      <c r="A469" t="s">
        <v>1487</v>
      </c>
      <c r="B469" t="s">
        <v>11</v>
      </c>
      <c r="C469" t="s">
        <v>1487</v>
      </c>
      <c r="D469" t="s">
        <v>1488</v>
      </c>
      <c r="F469" t="s">
        <v>312</v>
      </c>
      <c r="G469" t="s">
        <v>415</v>
      </c>
      <c r="H469">
        <v>8.7297407659566E-3</v>
      </c>
      <c r="I469">
        <v>4.0906669871245402E-2</v>
      </c>
      <c r="J469">
        <v>2.6526945062544698E-2</v>
      </c>
      <c r="K469" t="s">
        <v>1233</v>
      </c>
      <c r="L469">
        <v>3</v>
      </c>
    </row>
    <row r="470" spans="1:12">
      <c r="A470" t="s">
        <v>1489</v>
      </c>
      <c r="B470" t="s">
        <v>11</v>
      </c>
      <c r="C470" t="s">
        <v>1489</v>
      </c>
      <c r="D470" t="s">
        <v>1490</v>
      </c>
      <c r="F470" t="s">
        <v>312</v>
      </c>
      <c r="G470" t="s">
        <v>27</v>
      </c>
      <c r="H470">
        <v>8.9584038260814396E-3</v>
      </c>
      <c r="I470">
        <v>4.1888655843489601E-2</v>
      </c>
      <c r="J470">
        <v>2.71637382314803E-2</v>
      </c>
      <c r="K470" t="s">
        <v>1491</v>
      </c>
      <c r="L470">
        <v>3</v>
      </c>
    </row>
    <row r="471" spans="1:12">
      <c r="A471" t="s">
        <v>1492</v>
      </c>
      <c r="B471" t="s">
        <v>11</v>
      </c>
      <c r="C471" t="s">
        <v>1492</v>
      </c>
      <c r="D471" t="s">
        <v>1493</v>
      </c>
      <c r="F471" t="s">
        <v>182</v>
      </c>
      <c r="G471" t="s">
        <v>1494</v>
      </c>
      <c r="H471">
        <v>9.0755363990442702E-3</v>
      </c>
      <c r="I471">
        <v>4.2295191017770899E-2</v>
      </c>
      <c r="J471">
        <v>2.7427366052275699E-2</v>
      </c>
      <c r="K471" t="s">
        <v>1185</v>
      </c>
      <c r="L471">
        <v>4</v>
      </c>
    </row>
    <row r="472" spans="1:12">
      <c r="A472" t="s">
        <v>1495</v>
      </c>
      <c r="B472" t="s">
        <v>11</v>
      </c>
      <c r="C472" t="s">
        <v>1495</v>
      </c>
      <c r="D472" t="s">
        <v>1496</v>
      </c>
      <c r="F472" t="s">
        <v>312</v>
      </c>
      <c r="G472" t="s">
        <v>282</v>
      </c>
      <c r="H472">
        <v>9.1905591396361907E-3</v>
      </c>
      <c r="I472">
        <v>4.2295191017770899E-2</v>
      </c>
      <c r="J472">
        <v>2.7427366052275699E-2</v>
      </c>
      <c r="K472" t="s">
        <v>628</v>
      </c>
      <c r="L472">
        <v>3</v>
      </c>
    </row>
    <row r="473" spans="1:12">
      <c r="A473" t="s">
        <v>1497</v>
      </c>
      <c r="B473" t="s">
        <v>11</v>
      </c>
      <c r="C473" t="s">
        <v>1497</v>
      </c>
      <c r="D473" t="s">
        <v>1498</v>
      </c>
      <c r="F473" t="s">
        <v>694</v>
      </c>
      <c r="G473" t="s">
        <v>1499</v>
      </c>
      <c r="H473">
        <v>9.1996379915534506E-3</v>
      </c>
      <c r="I473">
        <v>4.2295191017770899E-2</v>
      </c>
      <c r="J473">
        <v>2.7427366052275699E-2</v>
      </c>
      <c r="K473" t="s">
        <v>1500</v>
      </c>
      <c r="L473">
        <v>2</v>
      </c>
    </row>
    <row r="474" spans="1:12">
      <c r="A474" t="s">
        <v>1501</v>
      </c>
      <c r="B474" t="s">
        <v>11</v>
      </c>
      <c r="C474" t="s">
        <v>1501</v>
      </c>
      <c r="D474" t="s">
        <v>1502</v>
      </c>
      <c r="F474" t="s">
        <v>694</v>
      </c>
      <c r="G474" t="s">
        <v>1499</v>
      </c>
      <c r="H474">
        <v>9.1996379915534506E-3</v>
      </c>
      <c r="I474">
        <v>4.2295191017770899E-2</v>
      </c>
      <c r="J474">
        <v>2.7427366052275699E-2</v>
      </c>
      <c r="K474" t="s">
        <v>1503</v>
      </c>
      <c r="L474">
        <v>2</v>
      </c>
    </row>
    <row r="475" spans="1:12">
      <c r="A475" t="s">
        <v>1504</v>
      </c>
      <c r="B475" t="s">
        <v>11</v>
      </c>
      <c r="C475" t="s">
        <v>1504</v>
      </c>
      <c r="D475" t="s">
        <v>1505</v>
      </c>
      <c r="F475" t="s">
        <v>694</v>
      </c>
      <c r="G475" t="s">
        <v>1499</v>
      </c>
      <c r="H475">
        <v>9.1996379915534506E-3</v>
      </c>
      <c r="I475">
        <v>4.2295191017770899E-2</v>
      </c>
      <c r="J475">
        <v>2.7427366052275699E-2</v>
      </c>
      <c r="K475" t="s">
        <v>1506</v>
      </c>
      <c r="L475">
        <v>2</v>
      </c>
    </row>
    <row r="476" spans="1:12">
      <c r="A476" t="s">
        <v>1507</v>
      </c>
      <c r="B476" t="s">
        <v>11</v>
      </c>
      <c r="C476" t="s">
        <v>1507</v>
      </c>
      <c r="D476" t="s">
        <v>1508</v>
      </c>
      <c r="F476" t="s">
        <v>694</v>
      </c>
      <c r="G476" t="s">
        <v>1499</v>
      </c>
      <c r="H476">
        <v>9.1996379915534506E-3</v>
      </c>
      <c r="I476">
        <v>4.2295191017770899E-2</v>
      </c>
      <c r="J476">
        <v>2.7427366052275699E-2</v>
      </c>
      <c r="K476" t="s">
        <v>1509</v>
      </c>
      <c r="L476">
        <v>2</v>
      </c>
    </row>
    <row r="477" spans="1:12">
      <c r="A477" t="s">
        <v>1510</v>
      </c>
      <c r="B477" t="s">
        <v>11</v>
      </c>
      <c r="C477" t="s">
        <v>1510</v>
      </c>
      <c r="D477" t="s">
        <v>1511</v>
      </c>
      <c r="F477" t="s">
        <v>694</v>
      </c>
      <c r="G477" t="s">
        <v>1499</v>
      </c>
      <c r="H477">
        <v>9.1996379915534506E-3</v>
      </c>
      <c r="I477">
        <v>4.2295191017770899E-2</v>
      </c>
      <c r="J477">
        <v>2.7427366052275699E-2</v>
      </c>
      <c r="K477" t="s">
        <v>1509</v>
      </c>
      <c r="L477">
        <v>2</v>
      </c>
    </row>
    <row r="478" spans="1:12">
      <c r="A478" t="s">
        <v>1512</v>
      </c>
      <c r="B478" t="s">
        <v>11</v>
      </c>
      <c r="C478" t="s">
        <v>1512</v>
      </c>
      <c r="D478" t="s">
        <v>1513</v>
      </c>
      <c r="F478" t="s">
        <v>694</v>
      </c>
      <c r="G478" t="s">
        <v>1499</v>
      </c>
      <c r="H478">
        <v>9.1996379915534506E-3</v>
      </c>
      <c r="I478">
        <v>4.2295191017770899E-2</v>
      </c>
      <c r="J478">
        <v>2.7427366052275699E-2</v>
      </c>
      <c r="K478" t="s">
        <v>1514</v>
      </c>
      <c r="L478">
        <v>2</v>
      </c>
    </row>
    <row r="479" spans="1:12">
      <c r="A479" t="s">
        <v>1515</v>
      </c>
      <c r="B479" t="s">
        <v>11</v>
      </c>
      <c r="C479" t="s">
        <v>1515</v>
      </c>
      <c r="D479" t="s">
        <v>1516</v>
      </c>
      <c r="F479" t="s">
        <v>312</v>
      </c>
      <c r="G479" t="s">
        <v>774</v>
      </c>
      <c r="H479">
        <v>9.4262176389716002E-3</v>
      </c>
      <c r="I479">
        <v>4.2976497468325797E-2</v>
      </c>
      <c r="J479">
        <v>2.7869176124850899E-2</v>
      </c>
      <c r="K479" t="s">
        <v>1517</v>
      </c>
      <c r="L479">
        <v>3</v>
      </c>
    </row>
    <row r="480" spans="1:12">
      <c r="A480" t="s">
        <v>1518</v>
      </c>
      <c r="B480" t="s">
        <v>11</v>
      </c>
      <c r="C480" t="s">
        <v>1518</v>
      </c>
      <c r="D480" t="s">
        <v>1519</v>
      </c>
      <c r="F480" t="s">
        <v>312</v>
      </c>
      <c r="G480" t="s">
        <v>774</v>
      </c>
      <c r="H480">
        <v>9.4262176389716002E-3</v>
      </c>
      <c r="I480">
        <v>4.2976497468325797E-2</v>
      </c>
      <c r="J480">
        <v>2.7869176124850899E-2</v>
      </c>
      <c r="K480" t="s">
        <v>1520</v>
      </c>
      <c r="L480">
        <v>3</v>
      </c>
    </row>
    <row r="481" spans="1:12">
      <c r="A481" t="s">
        <v>1521</v>
      </c>
      <c r="B481" t="s">
        <v>11</v>
      </c>
      <c r="C481" t="s">
        <v>1521</v>
      </c>
      <c r="D481" t="s">
        <v>1522</v>
      </c>
      <c r="F481" t="s">
        <v>312</v>
      </c>
      <c r="G481" t="s">
        <v>774</v>
      </c>
      <c r="H481">
        <v>9.4262176389716002E-3</v>
      </c>
      <c r="I481">
        <v>4.2976497468325797E-2</v>
      </c>
      <c r="J481">
        <v>2.7869176124850899E-2</v>
      </c>
      <c r="K481" t="s">
        <v>1523</v>
      </c>
      <c r="L481">
        <v>3</v>
      </c>
    </row>
    <row r="482" spans="1:12">
      <c r="A482" t="s">
        <v>1524</v>
      </c>
      <c r="B482" t="s">
        <v>11</v>
      </c>
      <c r="C482" t="s">
        <v>1524</v>
      </c>
      <c r="D482" t="s">
        <v>1525</v>
      </c>
      <c r="F482" t="s">
        <v>312</v>
      </c>
      <c r="G482" t="s">
        <v>774</v>
      </c>
      <c r="H482">
        <v>9.4262176389716002E-3</v>
      </c>
      <c r="I482">
        <v>4.2976497468325797E-2</v>
      </c>
      <c r="J482">
        <v>2.7869176124850899E-2</v>
      </c>
      <c r="K482" t="s">
        <v>815</v>
      </c>
      <c r="L482">
        <v>3</v>
      </c>
    </row>
    <row r="483" spans="1:12">
      <c r="A483" t="s">
        <v>1526</v>
      </c>
      <c r="B483" t="s">
        <v>11</v>
      </c>
      <c r="C483" t="s">
        <v>1526</v>
      </c>
      <c r="D483" t="s">
        <v>1527</v>
      </c>
      <c r="F483" t="s">
        <v>182</v>
      </c>
      <c r="G483" t="s">
        <v>174</v>
      </c>
      <c r="H483">
        <v>9.5421113416094099E-3</v>
      </c>
      <c r="I483">
        <v>4.3414626913173097E-2</v>
      </c>
      <c r="J483">
        <v>2.8153292034318201E-2</v>
      </c>
      <c r="K483" t="s">
        <v>1528</v>
      </c>
      <c r="L483">
        <v>4</v>
      </c>
    </row>
    <row r="484" spans="1:12">
      <c r="A484" t="s">
        <v>1529</v>
      </c>
      <c r="B484" t="s">
        <v>11</v>
      </c>
      <c r="C484" t="s">
        <v>1529</v>
      </c>
      <c r="D484" t="s">
        <v>1530</v>
      </c>
      <c r="F484" t="s">
        <v>694</v>
      </c>
      <c r="G484" t="s">
        <v>1531</v>
      </c>
      <c r="H484">
        <v>9.7001989561021802E-3</v>
      </c>
      <c r="I484">
        <v>4.3951521303165403E-2</v>
      </c>
      <c r="J484">
        <v>2.8501454523040499E-2</v>
      </c>
      <c r="K484" t="s">
        <v>952</v>
      </c>
      <c r="L484">
        <v>2</v>
      </c>
    </row>
    <row r="485" spans="1:12">
      <c r="A485" t="s">
        <v>1532</v>
      </c>
      <c r="B485" t="s">
        <v>11</v>
      </c>
      <c r="C485" t="s">
        <v>1532</v>
      </c>
      <c r="D485" t="s">
        <v>1533</v>
      </c>
      <c r="F485" t="s">
        <v>694</v>
      </c>
      <c r="G485" t="s">
        <v>1531</v>
      </c>
      <c r="H485">
        <v>9.7001989561021802E-3</v>
      </c>
      <c r="I485">
        <v>4.3951521303165403E-2</v>
      </c>
      <c r="J485">
        <v>2.8501454523040499E-2</v>
      </c>
      <c r="K485" t="s">
        <v>1007</v>
      </c>
      <c r="L485">
        <v>2</v>
      </c>
    </row>
    <row r="486" spans="1:12">
      <c r="A486" t="s">
        <v>1534</v>
      </c>
      <c r="B486" t="s">
        <v>11</v>
      </c>
      <c r="C486" t="s">
        <v>1534</v>
      </c>
      <c r="D486" t="s">
        <v>1535</v>
      </c>
      <c r="F486" t="s">
        <v>182</v>
      </c>
      <c r="G486" t="s">
        <v>1536</v>
      </c>
      <c r="H486">
        <v>9.8616948872006505E-3</v>
      </c>
      <c r="I486">
        <v>4.4591127603362903E-2</v>
      </c>
      <c r="J486">
        <v>2.8916223098444001E-2</v>
      </c>
      <c r="K486" t="s">
        <v>1537</v>
      </c>
      <c r="L486">
        <v>4</v>
      </c>
    </row>
    <row r="487" spans="1:12">
      <c r="A487" t="s">
        <v>1538</v>
      </c>
      <c r="B487" t="s">
        <v>11</v>
      </c>
      <c r="C487" t="s">
        <v>1538</v>
      </c>
      <c r="D487" t="s">
        <v>1539</v>
      </c>
      <c r="F487" t="s">
        <v>182</v>
      </c>
      <c r="G487" t="s">
        <v>1540</v>
      </c>
      <c r="H487">
        <v>1.00240679644432E-2</v>
      </c>
      <c r="I487">
        <v>4.5139180792656899E-2</v>
      </c>
      <c r="J487">
        <v>2.92716217874479E-2</v>
      </c>
      <c r="K487" t="s">
        <v>1372</v>
      </c>
      <c r="L487">
        <v>4</v>
      </c>
    </row>
    <row r="488" spans="1:12">
      <c r="A488" t="s">
        <v>1541</v>
      </c>
      <c r="B488" t="s">
        <v>11</v>
      </c>
      <c r="C488" t="s">
        <v>1541</v>
      </c>
      <c r="D488" t="s">
        <v>1542</v>
      </c>
      <c r="F488" t="s">
        <v>182</v>
      </c>
      <c r="G488" t="s">
        <v>1540</v>
      </c>
      <c r="H488">
        <v>1.00240679644432E-2</v>
      </c>
      <c r="I488">
        <v>4.5139180792656899E-2</v>
      </c>
      <c r="J488">
        <v>2.92716217874479E-2</v>
      </c>
      <c r="K488" t="s">
        <v>1543</v>
      </c>
      <c r="L488">
        <v>4</v>
      </c>
    </row>
    <row r="489" spans="1:12">
      <c r="A489" t="s">
        <v>1544</v>
      </c>
      <c r="B489" t="s">
        <v>11</v>
      </c>
      <c r="C489" t="s">
        <v>1544</v>
      </c>
      <c r="D489" t="s">
        <v>1545</v>
      </c>
      <c r="F489" t="s">
        <v>312</v>
      </c>
      <c r="G489" t="s">
        <v>86</v>
      </c>
      <c r="H489">
        <v>1.01543170686937E-2</v>
      </c>
      <c r="I489">
        <v>4.5538685749785902E-2</v>
      </c>
      <c r="J489">
        <v>2.9530690689495698E-2</v>
      </c>
      <c r="K489" t="s">
        <v>1546</v>
      </c>
      <c r="L489">
        <v>3</v>
      </c>
    </row>
    <row r="490" spans="1:12">
      <c r="A490" t="s">
        <v>1547</v>
      </c>
      <c r="B490" t="s">
        <v>11</v>
      </c>
      <c r="C490" t="s">
        <v>1547</v>
      </c>
      <c r="D490" t="s">
        <v>1548</v>
      </c>
      <c r="F490" t="s">
        <v>312</v>
      </c>
      <c r="G490" t="s">
        <v>86</v>
      </c>
      <c r="H490">
        <v>1.01543170686937E-2</v>
      </c>
      <c r="I490">
        <v>4.5538685749785902E-2</v>
      </c>
      <c r="J490">
        <v>2.9530690689495698E-2</v>
      </c>
      <c r="K490" t="s">
        <v>1546</v>
      </c>
      <c r="L490">
        <v>3</v>
      </c>
    </row>
    <row r="491" spans="1:12">
      <c r="A491" t="s">
        <v>1549</v>
      </c>
      <c r="B491" t="s">
        <v>11</v>
      </c>
      <c r="C491" t="s">
        <v>1549</v>
      </c>
      <c r="D491" t="s">
        <v>1550</v>
      </c>
      <c r="F491" t="s">
        <v>694</v>
      </c>
      <c r="G491" t="s">
        <v>627</v>
      </c>
      <c r="H491">
        <v>1.0212646452619401E-2</v>
      </c>
      <c r="I491">
        <v>4.5613714196729799E-2</v>
      </c>
      <c r="J491">
        <v>2.9579344747537401E-2</v>
      </c>
      <c r="K491" t="s">
        <v>1124</v>
      </c>
      <c r="L491">
        <v>2</v>
      </c>
    </row>
    <row r="492" spans="1:12">
      <c r="A492" t="s">
        <v>1551</v>
      </c>
      <c r="B492" t="s">
        <v>11</v>
      </c>
      <c r="C492" t="s">
        <v>1551</v>
      </c>
      <c r="D492" t="s">
        <v>1552</v>
      </c>
      <c r="F492" t="s">
        <v>694</v>
      </c>
      <c r="G492" t="s">
        <v>627</v>
      </c>
      <c r="H492">
        <v>1.0212646452619401E-2</v>
      </c>
      <c r="I492">
        <v>4.5613714196729799E-2</v>
      </c>
      <c r="J492">
        <v>2.9579344747537401E-2</v>
      </c>
      <c r="K492" t="s">
        <v>1553</v>
      </c>
      <c r="L492">
        <v>2</v>
      </c>
    </row>
    <row r="493" spans="1:12">
      <c r="A493" t="s">
        <v>1554</v>
      </c>
      <c r="B493" t="s">
        <v>11</v>
      </c>
      <c r="C493" t="s">
        <v>1554</v>
      </c>
      <c r="D493" t="s">
        <v>1555</v>
      </c>
      <c r="F493" t="s">
        <v>312</v>
      </c>
      <c r="G493" t="s">
        <v>1556</v>
      </c>
      <c r="H493">
        <v>1.0657419601618799E-2</v>
      </c>
      <c r="I493">
        <v>4.7471726964855999E-2</v>
      </c>
      <c r="J493">
        <v>3.0784219228415999E-2</v>
      </c>
      <c r="K493" t="s">
        <v>628</v>
      </c>
      <c r="L493">
        <v>3</v>
      </c>
    </row>
    <row r="494" spans="1:12">
      <c r="A494" t="s">
        <v>1557</v>
      </c>
      <c r="B494" t="s">
        <v>11</v>
      </c>
      <c r="C494" t="s">
        <v>1557</v>
      </c>
      <c r="D494" t="s">
        <v>1558</v>
      </c>
      <c r="F494" t="s">
        <v>182</v>
      </c>
      <c r="G494" t="s">
        <v>1559</v>
      </c>
      <c r="H494">
        <v>1.06909306724639E-2</v>
      </c>
      <c r="I494">
        <v>4.7471726964855999E-2</v>
      </c>
      <c r="J494">
        <v>3.0784219228415999E-2</v>
      </c>
      <c r="K494" t="s">
        <v>1560</v>
      </c>
      <c r="L494">
        <v>4</v>
      </c>
    </row>
    <row r="495" spans="1:12">
      <c r="A495" t="s">
        <v>1561</v>
      </c>
      <c r="B495" t="s">
        <v>11</v>
      </c>
      <c r="C495" t="s">
        <v>1561</v>
      </c>
      <c r="D495" t="s">
        <v>1562</v>
      </c>
      <c r="F495" t="s">
        <v>694</v>
      </c>
      <c r="G495" t="s">
        <v>639</v>
      </c>
      <c r="H495">
        <v>1.07368794229679E-2</v>
      </c>
      <c r="I495">
        <v>4.7471726964855999E-2</v>
      </c>
      <c r="J495">
        <v>3.0784219228415999E-2</v>
      </c>
      <c r="K495" t="s">
        <v>1116</v>
      </c>
      <c r="L495">
        <v>2</v>
      </c>
    </row>
    <row r="496" spans="1:12">
      <c r="A496" t="s">
        <v>1563</v>
      </c>
      <c r="B496" t="s">
        <v>11</v>
      </c>
      <c r="C496" t="s">
        <v>1563</v>
      </c>
      <c r="D496" t="s">
        <v>1564</v>
      </c>
      <c r="F496" t="s">
        <v>694</v>
      </c>
      <c r="G496" t="s">
        <v>639</v>
      </c>
      <c r="H496">
        <v>1.07368794229679E-2</v>
      </c>
      <c r="I496">
        <v>4.7471726964855999E-2</v>
      </c>
      <c r="J496">
        <v>3.0784219228415999E-2</v>
      </c>
      <c r="K496" t="s">
        <v>1565</v>
      </c>
      <c r="L496">
        <v>2</v>
      </c>
    </row>
    <row r="497" spans="1:12">
      <c r="A497" t="s">
        <v>1566</v>
      </c>
      <c r="B497" t="s">
        <v>11</v>
      </c>
      <c r="C497" t="s">
        <v>1566</v>
      </c>
      <c r="D497" t="s">
        <v>1567</v>
      </c>
      <c r="F497" t="s">
        <v>694</v>
      </c>
      <c r="G497" t="s">
        <v>639</v>
      </c>
      <c r="H497">
        <v>1.07368794229679E-2</v>
      </c>
      <c r="I497">
        <v>4.7471726964855999E-2</v>
      </c>
      <c r="J497">
        <v>3.0784219228415999E-2</v>
      </c>
      <c r="K497" t="s">
        <v>1063</v>
      </c>
      <c r="L497">
        <v>2</v>
      </c>
    </row>
    <row r="498" spans="1:12">
      <c r="A498" t="s">
        <v>1568</v>
      </c>
      <c r="B498" t="s">
        <v>11</v>
      </c>
      <c r="C498" t="s">
        <v>1568</v>
      </c>
      <c r="D498" t="s">
        <v>1569</v>
      </c>
      <c r="F498" t="s">
        <v>182</v>
      </c>
      <c r="G498" t="s">
        <v>1570</v>
      </c>
      <c r="H498">
        <v>1.08620230107098E-2</v>
      </c>
      <c r="I498">
        <v>4.7774614876903099E-2</v>
      </c>
      <c r="J498">
        <v>3.0980634410298798E-2</v>
      </c>
      <c r="K498" t="s">
        <v>1571</v>
      </c>
      <c r="L498">
        <v>4</v>
      </c>
    </row>
    <row r="499" spans="1:12">
      <c r="A499" t="s">
        <v>1572</v>
      </c>
      <c r="B499" t="s">
        <v>11</v>
      </c>
      <c r="C499" t="s">
        <v>1572</v>
      </c>
      <c r="D499" t="s">
        <v>1573</v>
      </c>
      <c r="F499" t="s">
        <v>312</v>
      </c>
      <c r="G499" t="s">
        <v>125</v>
      </c>
      <c r="H499">
        <v>1.09143101018369E-2</v>
      </c>
      <c r="I499">
        <v>4.7774614876903099E-2</v>
      </c>
      <c r="J499">
        <v>3.0980634410298798E-2</v>
      </c>
      <c r="K499" t="s">
        <v>1574</v>
      </c>
      <c r="L499">
        <v>3</v>
      </c>
    </row>
    <row r="500" spans="1:12">
      <c r="A500" t="s">
        <v>1575</v>
      </c>
      <c r="B500" t="s">
        <v>11</v>
      </c>
      <c r="C500" t="s">
        <v>1575</v>
      </c>
      <c r="D500" t="s">
        <v>1576</v>
      </c>
      <c r="F500" t="s">
        <v>312</v>
      </c>
      <c r="G500" t="s">
        <v>125</v>
      </c>
      <c r="H500">
        <v>1.09143101018369E-2</v>
      </c>
      <c r="I500">
        <v>4.7774614876903099E-2</v>
      </c>
      <c r="J500">
        <v>3.0980634410298798E-2</v>
      </c>
      <c r="K500" t="s">
        <v>1042</v>
      </c>
      <c r="L500">
        <v>3</v>
      </c>
    </row>
    <row r="501" spans="1:12">
      <c r="A501" t="s">
        <v>1577</v>
      </c>
      <c r="B501" t="s">
        <v>11</v>
      </c>
      <c r="C501" t="s">
        <v>1577</v>
      </c>
      <c r="D501" t="s">
        <v>1578</v>
      </c>
      <c r="F501" t="s">
        <v>312</v>
      </c>
      <c r="G501" t="s">
        <v>125</v>
      </c>
      <c r="H501">
        <v>1.09143101018369E-2</v>
      </c>
      <c r="I501">
        <v>4.7774614876903099E-2</v>
      </c>
      <c r="J501">
        <v>3.0980634410298798E-2</v>
      </c>
      <c r="K501" t="s">
        <v>1579</v>
      </c>
      <c r="L501">
        <v>3</v>
      </c>
    </row>
    <row r="502" spans="1:12">
      <c r="A502" t="s">
        <v>1580</v>
      </c>
      <c r="B502" t="s">
        <v>11</v>
      </c>
      <c r="C502" t="s">
        <v>1580</v>
      </c>
      <c r="D502" t="s">
        <v>1581</v>
      </c>
      <c r="F502" t="s">
        <v>312</v>
      </c>
      <c r="G502" t="s">
        <v>125</v>
      </c>
      <c r="H502">
        <v>1.09143101018369E-2</v>
      </c>
      <c r="I502">
        <v>4.7774614876903099E-2</v>
      </c>
      <c r="J502">
        <v>3.0980634410298798E-2</v>
      </c>
      <c r="K502" t="s">
        <v>815</v>
      </c>
      <c r="L502">
        <v>3</v>
      </c>
    </row>
    <row r="503" spans="1:12">
      <c r="A503" t="s">
        <v>1582</v>
      </c>
      <c r="B503" t="s">
        <v>11</v>
      </c>
      <c r="C503" t="s">
        <v>1582</v>
      </c>
      <c r="D503" t="s">
        <v>1583</v>
      </c>
      <c r="F503" t="s">
        <v>312</v>
      </c>
      <c r="G503" t="s">
        <v>1584</v>
      </c>
      <c r="H503">
        <v>1.11747720251495E-2</v>
      </c>
      <c r="I503">
        <v>4.88172809783919E-2</v>
      </c>
      <c r="J503">
        <v>3.1656777114650703E-2</v>
      </c>
      <c r="K503" t="s">
        <v>1417</v>
      </c>
      <c r="L503">
        <v>3</v>
      </c>
    </row>
    <row r="504" spans="1:12">
      <c r="A504" t="s">
        <v>1585</v>
      </c>
      <c r="B504" t="s">
        <v>11</v>
      </c>
      <c r="C504" t="s">
        <v>1585</v>
      </c>
      <c r="D504" t="s">
        <v>1586</v>
      </c>
      <c r="F504" t="s">
        <v>694</v>
      </c>
      <c r="G504" t="s">
        <v>658</v>
      </c>
      <c r="H504">
        <v>1.12727974107266E-2</v>
      </c>
      <c r="I504">
        <v>4.8856214865066298E-2</v>
      </c>
      <c r="J504">
        <v>3.1682024759500098E-2</v>
      </c>
      <c r="K504" t="s">
        <v>1587</v>
      </c>
      <c r="L504">
        <v>2</v>
      </c>
    </row>
    <row r="505" spans="1:12">
      <c r="A505" t="s">
        <v>1588</v>
      </c>
      <c r="B505" t="s">
        <v>11</v>
      </c>
      <c r="C505" t="s">
        <v>1588</v>
      </c>
      <c r="D505" t="s">
        <v>1589</v>
      </c>
      <c r="F505" t="s">
        <v>694</v>
      </c>
      <c r="G505" t="s">
        <v>658</v>
      </c>
      <c r="H505">
        <v>1.12727974107266E-2</v>
      </c>
      <c r="I505">
        <v>4.8856214865066298E-2</v>
      </c>
      <c r="J505">
        <v>3.1682024759500098E-2</v>
      </c>
      <c r="K505" t="s">
        <v>794</v>
      </c>
      <c r="L505">
        <v>2</v>
      </c>
    </row>
    <row r="506" spans="1:12">
      <c r="A506" t="s">
        <v>1590</v>
      </c>
      <c r="B506" t="s">
        <v>11</v>
      </c>
      <c r="C506" t="s">
        <v>1590</v>
      </c>
      <c r="D506" t="s">
        <v>1591</v>
      </c>
      <c r="F506" t="s">
        <v>694</v>
      </c>
      <c r="G506" t="s">
        <v>658</v>
      </c>
      <c r="H506">
        <v>1.12727974107266E-2</v>
      </c>
      <c r="I506">
        <v>4.8856214865066298E-2</v>
      </c>
      <c r="J506">
        <v>3.1682024759500098E-2</v>
      </c>
      <c r="K506" t="s">
        <v>1253</v>
      </c>
      <c r="L506">
        <v>2</v>
      </c>
    </row>
    <row r="507" spans="1:12">
      <c r="A507" t="s">
        <v>1592</v>
      </c>
      <c r="B507" t="s">
        <v>11</v>
      </c>
      <c r="C507" t="s">
        <v>1592</v>
      </c>
      <c r="D507" t="s">
        <v>1593</v>
      </c>
      <c r="F507" t="s">
        <v>694</v>
      </c>
      <c r="G507" t="s">
        <v>658</v>
      </c>
      <c r="H507">
        <v>1.12727974107266E-2</v>
      </c>
      <c r="I507">
        <v>4.8856214865066298E-2</v>
      </c>
      <c r="J507">
        <v>3.1682024759500098E-2</v>
      </c>
      <c r="K507" t="s">
        <v>1553</v>
      </c>
      <c r="L507">
        <v>2</v>
      </c>
    </row>
    <row r="508" spans="1:12">
      <c r="A508" t="s">
        <v>1594</v>
      </c>
      <c r="B508" t="s">
        <v>11</v>
      </c>
      <c r="C508" t="s">
        <v>1594</v>
      </c>
      <c r="D508" t="s">
        <v>1595</v>
      </c>
      <c r="F508" t="s">
        <v>312</v>
      </c>
      <c r="G508" t="s">
        <v>301</v>
      </c>
      <c r="H508">
        <v>1.1438813968180901E-2</v>
      </c>
      <c r="I508">
        <v>4.9477946809113903E-2</v>
      </c>
      <c r="J508">
        <v>3.2085202265156099E-2</v>
      </c>
      <c r="K508" t="s">
        <v>1596</v>
      </c>
      <c r="L508">
        <v>3</v>
      </c>
    </row>
    <row r="509" spans="1:12">
      <c r="A509" t="s">
        <v>1597</v>
      </c>
      <c r="B509" t="s">
        <v>11</v>
      </c>
      <c r="C509" t="s">
        <v>1597</v>
      </c>
      <c r="D509" t="s">
        <v>1598</v>
      </c>
      <c r="F509" t="s">
        <v>182</v>
      </c>
      <c r="G509" t="s">
        <v>538</v>
      </c>
      <c r="H509">
        <v>1.15640989301643E-2</v>
      </c>
      <c r="I509">
        <v>4.9725625399706597E-2</v>
      </c>
      <c r="J509">
        <v>3.2245815592677002E-2</v>
      </c>
      <c r="K509" t="s">
        <v>1599</v>
      </c>
      <c r="L509">
        <v>4</v>
      </c>
    </row>
    <row r="510" spans="1:12">
      <c r="A510" t="s">
        <v>1600</v>
      </c>
      <c r="B510" t="s">
        <v>11</v>
      </c>
      <c r="C510" t="s">
        <v>1600</v>
      </c>
      <c r="D510" t="s">
        <v>1601</v>
      </c>
      <c r="F510" t="s">
        <v>182</v>
      </c>
      <c r="G510" t="s">
        <v>538</v>
      </c>
      <c r="H510">
        <v>1.15640989301643E-2</v>
      </c>
      <c r="I510">
        <v>4.9725625399706597E-2</v>
      </c>
      <c r="J510">
        <v>3.2245815592677002E-2</v>
      </c>
      <c r="K510" t="s">
        <v>1372</v>
      </c>
      <c r="L510">
        <v>4</v>
      </c>
    </row>
    <row r="511" spans="1:12">
      <c r="A511" t="s">
        <v>1602</v>
      </c>
      <c r="B511" t="s">
        <v>11</v>
      </c>
      <c r="C511" t="s">
        <v>1602</v>
      </c>
      <c r="D511" t="s">
        <v>1603</v>
      </c>
      <c r="F511" t="s">
        <v>182</v>
      </c>
      <c r="G511" t="s">
        <v>538</v>
      </c>
      <c r="H511">
        <v>1.15640989301643E-2</v>
      </c>
      <c r="I511">
        <v>4.9725625399706597E-2</v>
      </c>
      <c r="J511">
        <v>3.2245815592677002E-2</v>
      </c>
      <c r="K511" t="s">
        <v>1604</v>
      </c>
      <c r="L511">
        <v>4</v>
      </c>
    </row>
    <row r="512" spans="1:12">
      <c r="A512" t="s">
        <v>1605</v>
      </c>
      <c r="B512" t="s">
        <v>1606</v>
      </c>
      <c r="C512" t="s">
        <v>1605</v>
      </c>
      <c r="D512" t="s">
        <v>1607</v>
      </c>
      <c r="F512" t="s">
        <v>1608</v>
      </c>
      <c r="G512" t="s">
        <v>1609</v>
      </c>
      <c r="H512" s="1">
        <v>2.1680799050583301E-10</v>
      </c>
      <c r="I512" s="1">
        <v>3.5990126423968201E-8</v>
      </c>
      <c r="J512" s="1">
        <v>3.0124899733442002E-8</v>
      </c>
      <c r="K512" t="s">
        <v>1610</v>
      </c>
      <c r="L512">
        <v>5</v>
      </c>
    </row>
    <row r="513" spans="1:12">
      <c r="A513" t="s">
        <v>1611</v>
      </c>
      <c r="B513" t="s">
        <v>1606</v>
      </c>
      <c r="C513" t="s">
        <v>1611</v>
      </c>
      <c r="D513" t="s">
        <v>1612</v>
      </c>
      <c r="F513" t="s">
        <v>1613</v>
      </c>
      <c r="G513" t="s">
        <v>1614</v>
      </c>
      <c r="H513" s="1">
        <v>5.70738345792522E-7</v>
      </c>
      <c r="I513" s="1">
        <v>4.7371282700779301E-5</v>
      </c>
      <c r="J513" s="1">
        <v>3.9651295602427902E-5</v>
      </c>
      <c r="K513" t="s">
        <v>275</v>
      </c>
      <c r="L513">
        <v>6</v>
      </c>
    </row>
    <row r="514" spans="1:12">
      <c r="A514" t="s">
        <v>1615</v>
      </c>
      <c r="B514" t="s">
        <v>1606</v>
      </c>
      <c r="C514" t="s">
        <v>1615</v>
      </c>
      <c r="D514" t="s">
        <v>1616</v>
      </c>
      <c r="F514" t="s">
        <v>1617</v>
      </c>
      <c r="G514" t="s">
        <v>1618</v>
      </c>
      <c r="H514" s="1">
        <v>1.4393008370156599E-5</v>
      </c>
      <c r="I514">
        <v>7.9641312981533399E-4</v>
      </c>
      <c r="J514">
        <v>6.6662354556514902E-4</v>
      </c>
      <c r="K514" t="s">
        <v>1619</v>
      </c>
      <c r="L514">
        <v>10</v>
      </c>
    </row>
    <row r="515" spans="1:12">
      <c r="A515" t="s">
        <v>1620</v>
      </c>
      <c r="B515" t="s">
        <v>1606</v>
      </c>
      <c r="C515" t="s">
        <v>1620</v>
      </c>
      <c r="D515" t="s">
        <v>1621</v>
      </c>
      <c r="F515" t="s">
        <v>1613</v>
      </c>
      <c r="G515" t="s">
        <v>1622</v>
      </c>
      <c r="H515" s="1">
        <v>2.4423802206316E-5</v>
      </c>
      <c r="I515">
        <v>8.6600150284937903E-4</v>
      </c>
      <c r="J515">
        <v>7.2487126427468599E-4</v>
      </c>
      <c r="K515" t="s">
        <v>275</v>
      </c>
      <c r="L515">
        <v>6</v>
      </c>
    </row>
    <row r="516" spans="1:12">
      <c r="A516" t="s">
        <v>1623</v>
      </c>
      <c r="B516" t="s">
        <v>1606</v>
      </c>
      <c r="C516" t="s">
        <v>1623</v>
      </c>
      <c r="D516" t="s">
        <v>1624</v>
      </c>
      <c r="F516" t="s">
        <v>1625</v>
      </c>
      <c r="G516" t="s">
        <v>1626</v>
      </c>
      <c r="H516" s="1">
        <v>3.4284488752162703E-5</v>
      </c>
      <c r="I516">
        <v>8.6600150284937903E-4</v>
      </c>
      <c r="J516">
        <v>7.2487126427468599E-4</v>
      </c>
      <c r="K516" t="s">
        <v>1627</v>
      </c>
      <c r="L516">
        <v>8</v>
      </c>
    </row>
    <row r="517" spans="1:12">
      <c r="A517" t="s">
        <v>1628</v>
      </c>
      <c r="B517" t="s">
        <v>1606</v>
      </c>
      <c r="C517" t="s">
        <v>1628</v>
      </c>
      <c r="D517" t="s">
        <v>1629</v>
      </c>
      <c r="F517" t="s">
        <v>1625</v>
      </c>
      <c r="G517" t="s">
        <v>1630</v>
      </c>
      <c r="H517" s="1">
        <v>4.19033759345711E-5</v>
      </c>
      <c r="I517">
        <v>8.6600150284937903E-4</v>
      </c>
      <c r="J517">
        <v>7.2487126427468599E-4</v>
      </c>
      <c r="K517" t="s">
        <v>1631</v>
      </c>
      <c r="L517">
        <v>8</v>
      </c>
    </row>
    <row r="518" spans="1:12">
      <c r="A518" t="s">
        <v>1632</v>
      </c>
      <c r="B518" t="s">
        <v>1606</v>
      </c>
      <c r="C518" t="s">
        <v>1632</v>
      </c>
      <c r="D518" t="s">
        <v>1633</v>
      </c>
      <c r="F518" t="s">
        <v>1625</v>
      </c>
      <c r="G518" t="s">
        <v>1634</v>
      </c>
      <c r="H518" s="1">
        <v>4.4737841186433499E-5</v>
      </c>
      <c r="I518">
        <v>8.6600150284937903E-4</v>
      </c>
      <c r="J518">
        <v>7.2487126427468599E-4</v>
      </c>
      <c r="K518" t="s">
        <v>1631</v>
      </c>
      <c r="L518">
        <v>8</v>
      </c>
    </row>
    <row r="519" spans="1:12">
      <c r="A519" t="s">
        <v>1635</v>
      </c>
      <c r="B519" t="s">
        <v>1606</v>
      </c>
      <c r="C519" t="s">
        <v>1635</v>
      </c>
      <c r="D519" t="s">
        <v>1636</v>
      </c>
      <c r="F519" t="s">
        <v>1625</v>
      </c>
      <c r="G519" t="s">
        <v>1637</v>
      </c>
      <c r="H519" s="1">
        <v>4.6715099409480399E-5</v>
      </c>
      <c r="I519">
        <v>8.6600150284937903E-4</v>
      </c>
      <c r="J519">
        <v>7.2487126427468599E-4</v>
      </c>
      <c r="K519" t="s">
        <v>1631</v>
      </c>
      <c r="L519">
        <v>8</v>
      </c>
    </row>
    <row r="520" spans="1:12">
      <c r="A520" t="s">
        <v>1638</v>
      </c>
      <c r="B520" t="s">
        <v>1606</v>
      </c>
      <c r="C520" t="s">
        <v>1638</v>
      </c>
      <c r="D520" t="s">
        <v>1639</v>
      </c>
      <c r="F520" t="s">
        <v>1613</v>
      </c>
      <c r="G520" t="s">
        <v>1640</v>
      </c>
      <c r="H520" s="1">
        <v>4.8760130593184901E-5</v>
      </c>
      <c r="I520">
        <v>8.6600150284937903E-4</v>
      </c>
      <c r="J520">
        <v>7.2487126427468599E-4</v>
      </c>
      <c r="K520" t="s">
        <v>1641</v>
      </c>
      <c r="L520">
        <v>6</v>
      </c>
    </row>
    <row r="521" spans="1:12">
      <c r="A521" t="s">
        <v>1642</v>
      </c>
      <c r="B521" t="s">
        <v>1606</v>
      </c>
      <c r="C521" t="s">
        <v>1642</v>
      </c>
      <c r="D521" t="s">
        <v>1643</v>
      </c>
      <c r="F521" t="s">
        <v>1613</v>
      </c>
      <c r="G521" t="s">
        <v>1644</v>
      </c>
      <c r="H521" s="1">
        <v>5.2168765231890298E-5</v>
      </c>
      <c r="I521">
        <v>8.6600150284937903E-4</v>
      </c>
      <c r="J521">
        <v>7.2487126427468599E-4</v>
      </c>
      <c r="K521" t="s">
        <v>275</v>
      </c>
      <c r="L521">
        <v>6</v>
      </c>
    </row>
    <row r="522" spans="1:12">
      <c r="A522" t="s">
        <v>1645</v>
      </c>
      <c r="B522" t="s">
        <v>1606</v>
      </c>
      <c r="C522" t="s">
        <v>1645</v>
      </c>
      <c r="D522" t="s">
        <v>1646</v>
      </c>
      <c r="F522" t="s">
        <v>1608</v>
      </c>
      <c r="G522" t="s">
        <v>1647</v>
      </c>
      <c r="H522">
        <v>4.4354860590075702E-4</v>
      </c>
      <c r="I522">
        <v>6.5835680780261903E-3</v>
      </c>
      <c r="J522">
        <v>5.5106593931481098E-3</v>
      </c>
      <c r="K522" t="s">
        <v>1648</v>
      </c>
      <c r="L522">
        <v>5</v>
      </c>
    </row>
    <row r="523" spans="1:12">
      <c r="A523" t="s">
        <v>1649</v>
      </c>
      <c r="B523" t="s">
        <v>1606</v>
      </c>
      <c r="C523" t="s">
        <v>1649</v>
      </c>
      <c r="D523" t="s">
        <v>1650</v>
      </c>
      <c r="F523" t="s">
        <v>1651</v>
      </c>
      <c r="G523" t="s">
        <v>1652</v>
      </c>
      <c r="H523">
        <v>4.7592058395370002E-4</v>
      </c>
      <c r="I523">
        <v>6.5835680780261903E-3</v>
      </c>
      <c r="J523">
        <v>5.5106593931481098E-3</v>
      </c>
      <c r="K523" t="s">
        <v>1653</v>
      </c>
      <c r="L523">
        <v>4</v>
      </c>
    </row>
    <row r="524" spans="1:12">
      <c r="A524" t="s">
        <v>1654</v>
      </c>
      <c r="B524" t="s">
        <v>1606</v>
      </c>
      <c r="C524" t="s">
        <v>1654</v>
      </c>
      <c r="D524" t="s">
        <v>1655</v>
      </c>
      <c r="F524" t="s">
        <v>1656</v>
      </c>
      <c r="G524" t="s">
        <v>1609</v>
      </c>
      <c r="H524">
        <v>6.8805672509557303E-4</v>
      </c>
      <c r="I524">
        <v>8.7859551050665508E-3</v>
      </c>
      <c r="J524">
        <v>7.3541285597259701E-3</v>
      </c>
      <c r="K524" t="s">
        <v>1657</v>
      </c>
      <c r="L524">
        <v>2</v>
      </c>
    </row>
    <row r="525" spans="1:12">
      <c r="A525" t="s">
        <v>1658</v>
      </c>
      <c r="B525" t="s">
        <v>1606</v>
      </c>
      <c r="C525" t="s">
        <v>1658</v>
      </c>
      <c r="D525" t="s">
        <v>1659</v>
      </c>
      <c r="F525" t="s">
        <v>1656</v>
      </c>
      <c r="G525" t="s">
        <v>1660</v>
      </c>
      <c r="H525">
        <v>8.3879029742852003E-4</v>
      </c>
      <c r="I525">
        <v>9.4729605270315303E-3</v>
      </c>
      <c r="J525">
        <v>7.9291743155875793E-3</v>
      </c>
      <c r="K525" t="s">
        <v>1661</v>
      </c>
      <c r="L525">
        <v>2</v>
      </c>
    </row>
    <row r="526" spans="1:12">
      <c r="A526" t="s">
        <v>1662</v>
      </c>
      <c r="B526" t="s">
        <v>1606</v>
      </c>
      <c r="C526" t="s">
        <v>1662</v>
      </c>
      <c r="D526" t="s">
        <v>1663</v>
      </c>
      <c r="F526" t="s">
        <v>1608</v>
      </c>
      <c r="G526" t="s">
        <v>1664</v>
      </c>
      <c r="H526">
        <v>8.5599040906911403E-4</v>
      </c>
      <c r="I526">
        <v>9.4729605270315303E-3</v>
      </c>
      <c r="J526">
        <v>7.9291743155875793E-3</v>
      </c>
      <c r="K526" t="s">
        <v>1665</v>
      </c>
      <c r="L526">
        <v>5</v>
      </c>
    </row>
    <row r="527" spans="1:12">
      <c r="A527" t="s">
        <v>1666</v>
      </c>
      <c r="B527" t="s">
        <v>1606</v>
      </c>
      <c r="C527" t="s">
        <v>1666</v>
      </c>
      <c r="D527" t="s">
        <v>1667</v>
      </c>
      <c r="F527" t="s">
        <v>1656</v>
      </c>
      <c r="G527" t="s">
        <v>1668</v>
      </c>
      <c r="H527">
        <v>1.18343453912269E-3</v>
      </c>
      <c r="I527">
        <v>1.22781333433979E-2</v>
      </c>
      <c r="J527">
        <v>1.0277194681854901E-2</v>
      </c>
      <c r="K527" t="s">
        <v>1661</v>
      </c>
      <c r="L527">
        <v>2</v>
      </c>
    </row>
    <row r="528" spans="1:12">
      <c r="A528" t="s">
        <v>1669</v>
      </c>
      <c r="B528" t="s">
        <v>1606</v>
      </c>
      <c r="C528" t="s">
        <v>1669</v>
      </c>
      <c r="D528" t="s">
        <v>1670</v>
      </c>
      <c r="F528" t="s">
        <v>1671</v>
      </c>
      <c r="G528" t="s">
        <v>1672</v>
      </c>
      <c r="H528">
        <v>1.36771906880276E-3</v>
      </c>
      <c r="I528">
        <v>1.3355374436544601E-2</v>
      </c>
      <c r="J528">
        <v>1.11788803146727E-2</v>
      </c>
      <c r="K528" t="s">
        <v>1673</v>
      </c>
      <c r="L528">
        <v>3</v>
      </c>
    </row>
    <row r="529" spans="1:12">
      <c r="A529" t="s">
        <v>1674</v>
      </c>
      <c r="B529" t="s">
        <v>1606</v>
      </c>
      <c r="C529" t="s">
        <v>1674</v>
      </c>
      <c r="D529" t="s">
        <v>1675</v>
      </c>
      <c r="F529" t="s">
        <v>1651</v>
      </c>
      <c r="G529" t="s">
        <v>1676</v>
      </c>
      <c r="H529">
        <v>1.51320895235784E-3</v>
      </c>
      <c r="I529">
        <v>1.3955149227300101E-2</v>
      </c>
      <c r="J529">
        <v>1.16809112111833E-2</v>
      </c>
      <c r="K529" t="s">
        <v>1677</v>
      </c>
      <c r="L529">
        <v>4</v>
      </c>
    </row>
    <row r="530" spans="1:12">
      <c r="A530" t="s">
        <v>1678</v>
      </c>
      <c r="B530" t="s">
        <v>1606</v>
      </c>
      <c r="C530" t="s">
        <v>1678</v>
      </c>
      <c r="D530" t="s">
        <v>1679</v>
      </c>
      <c r="F530" t="s">
        <v>1671</v>
      </c>
      <c r="G530" t="s">
        <v>1680</v>
      </c>
      <c r="H530">
        <v>2.4135523727987899E-3</v>
      </c>
      <c r="I530">
        <v>2.1086825993926299E-2</v>
      </c>
      <c r="J530">
        <v>1.76503553024621E-2</v>
      </c>
      <c r="K530" t="s">
        <v>1681</v>
      </c>
      <c r="L530">
        <v>3</v>
      </c>
    </row>
    <row r="531" spans="1:12">
      <c r="A531" t="s">
        <v>1682</v>
      </c>
      <c r="B531" t="s">
        <v>1606</v>
      </c>
      <c r="C531" t="s">
        <v>1682</v>
      </c>
      <c r="D531" t="s">
        <v>1683</v>
      </c>
      <c r="F531" t="s">
        <v>1671</v>
      </c>
      <c r="G531" t="s">
        <v>1684</v>
      </c>
      <c r="H531">
        <v>3.0805569925297501E-3</v>
      </c>
      <c r="I531">
        <v>2.5568623037996899E-2</v>
      </c>
      <c r="J531">
        <v>2.1401764369153999E-2</v>
      </c>
      <c r="K531" t="s">
        <v>1685</v>
      </c>
      <c r="L531">
        <v>3</v>
      </c>
    </row>
    <row r="532" spans="1:12">
      <c r="A532" t="s">
        <v>1686</v>
      </c>
      <c r="B532" t="s">
        <v>1606</v>
      </c>
      <c r="C532" t="s">
        <v>1686</v>
      </c>
      <c r="D532" t="s">
        <v>1687</v>
      </c>
      <c r="F532" t="s">
        <v>1671</v>
      </c>
      <c r="G532" t="s">
        <v>1652</v>
      </c>
      <c r="H532">
        <v>5.7175009598651599E-3</v>
      </c>
      <c r="I532">
        <v>4.5195483777981701E-2</v>
      </c>
      <c r="J532">
        <v>3.7830081538957401E-2</v>
      </c>
      <c r="K532" t="s">
        <v>1681</v>
      </c>
      <c r="L532">
        <v>3</v>
      </c>
    </row>
    <row r="533" spans="1:12">
      <c r="A533" t="s">
        <v>1688</v>
      </c>
      <c r="B533" t="s">
        <v>1689</v>
      </c>
      <c r="C533" t="s">
        <v>1688</v>
      </c>
      <c r="D533" t="s">
        <v>1690</v>
      </c>
      <c r="F533" t="s">
        <v>1691</v>
      </c>
      <c r="G533" t="s">
        <v>1692</v>
      </c>
      <c r="H533" s="1">
        <v>1.26088713588949E-16</v>
      </c>
      <c r="I533" s="1">
        <v>2.87482266982803E-14</v>
      </c>
      <c r="J533" s="1">
        <v>2.4023218062736501E-14</v>
      </c>
      <c r="K533" t="s">
        <v>1693</v>
      </c>
      <c r="L533">
        <v>17</v>
      </c>
    </row>
    <row r="534" spans="1:12">
      <c r="A534" t="s">
        <v>1694</v>
      </c>
      <c r="B534" t="s">
        <v>1689</v>
      </c>
      <c r="C534" t="s">
        <v>1694</v>
      </c>
      <c r="D534" t="s">
        <v>1695</v>
      </c>
      <c r="F534" t="s">
        <v>1696</v>
      </c>
      <c r="G534" t="s">
        <v>1697</v>
      </c>
      <c r="H534" s="1">
        <v>7.2893676282854897E-15</v>
      </c>
      <c r="I534" s="1">
        <v>8.3098790962454599E-13</v>
      </c>
      <c r="J534" s="1">
        <v>6.9440817932614402E-13</v>
      </c>
      <c r="K534" t="s">
        <v>1698</v>
      </c>
      <c r="L534">
        <v>10</v>
      </c>
    </row>
    <row r="535" spans="1:12">
      <c r="A535" t="s">
        <v>1699</v>
      </c>
      <c r="B535" t="s">
        <v>1689</v>
      </c>
      <c r="C535" t="s">
        <v>1699</v>
      </c>
      <c r="D535" t="s">
        <v>1700</v>
      </c>
      <c r="F535" t="s">
        <v>1696</v>
      </c>
      <c r="G535" t="s">
        <v>1701</v>
      </c>
      <c r="H535" s="1">
        <v>3.8034634970903099E-13</v>
      </c>
      <c r="I535" s="1">
        <v>2.8906322577886399E-11</v>
      </c>
      <c r="J535" s="1">
        <v>2.4155329578012201E-11</v>
      </c>
      <c r="K535" t="s">
        <v>1698</v>
      </c>
      <c r="L535">
        <v>10</v>
      </c>
    </row>
    <row r="536" spans="1:12">
      <c r="A536" t="s">
        <v>1702</v>
      </c>
      <c r="B536" t="s">
        <v>1689</v>
      </c>
      <c r="C536" t="s">
        <v>1702</v>
      </c>
      <c r="D536" t="s">
        <v>1703</v>
      </c>
      <c r="F536" t="s">
        <v>1704</v>
      </c>
      <c r="G536" t="s">
        <v>1705</v>
      </c>
      <c r="H536" s="1">
        <v>1.62834309054188E-12</v>
      </c>
      <c r="I536" s="1">
        <v>9.2815556160886994E-11</v>
      </c>
      <c r="J536" s="1">
        <v>7.7560552470547298E-11</v>
      </c>
      <c r="K536" t="s">
        <v>1706</v>
      </c>
      <c r="L536">
        <v>18</v>
      </c>
    </row>
    <row r="537" spans="1:12">
      <c r="A537" t="s">
        <v>1707</v>
      </c>
      <c r="B537" t="s">
        <v>1689</v>
      </c>
      <c r="C537" t="s">
        <v>1707</v>
      </c>
      <c r="D537" t="s">
        <v>1708</v>
      </c>
      <c r="F537" t="s">
        <v>1704</v>
      </c>
      <c r="G537" t="s">
        <v>1709</v>
      </c>
      <c r="H537" s="1">
        <v>2.0642584358205001E-12</v>
      </c>
      <c r="I537" s="1">
        <v>9.4130184673414605E-11</v>
      </c>
      <c r="J537" s="1">
        <v>7.8659110922844095E-11</v>
      </c>
      <c r="K537" t="s">
        <v>1706</v>
      </c>
      <c r="L537">
        <v>18</v>
      </c>
    </row>
    <row r="538" spans="1:12">
      <c r="A538" t="s">
        <v>1710</v>
      </c>
      <c r="B538" t="s">
        <v>1689</v>
      </c>
      <c r="C538" t="s">
        <v>1710</v>
      </c>
      <c r="D538" t="s">
        <v>1711</v>
      </c>
      <c r="F538" t="s">
        <v>1712</v>
      </c>
      <c r="G538" t="s">
        <v>1713</v>
      </c>
      <c r="H538" s="1">
        <v>7.6963774445712E-12</v>
      </c>
      <c r="I538" s="1">
        <v>2.92462342893706E-10</v>
      </c>
      <c r="J538" s="1">
        <v>2.4439373990655902E-10</v>
      </c>
      <c r="K538" t="s">
        <v>1714</v>
      </c>
      <c r="L538">
        <v>14</v>
      </c>
    </row>
    <row r="539" spans="1:12">
      <c r="A539" t="s">
        <v>1715</v>
      </c>
      <c r="B539" t="s">
        <v>1689</v>
      </c>
      <c r="C539" t="s">
        <v>1715</v>
      </c>
      <c r="D539" t="s">
        <v>1716</v>
      </c>
      <c r="F539" t="s">
        <v>1717</v>
      </c>
      <c r="G539" t="s">
        <v>1718</v>
      </c>
      <c r="H539" s="1">
        <v>9.7786890262994908E-9</v>
      </c>
      <c r="I539" s="1">
        <v>3.1850587114232601E-7</v>
      </c>
      <c r="J539" s="1">
        <v>2.6615679906168499E-7</v>
      </c>
      <c r="K539" t="s">
        <v>1719</v>
      </c>
      <c r="L539">
        <v>5</v>
      </c>
    </row>
    <row r="540" spans="1:12">
      <c r="A540" t="s">
        <v>1720</v>
      </c>
      <c r="B540" t="s">
        <v>1689</v>
      </c>
      <c r="C540" t="s">
        <v>1720</v>
      </c>
      <c r="D540" t="s">
        <v>1721</v>
      </c>
      <c r="F540" t="s">
        <v>1722</v>
      </c>
      <c r="G540" t="s">
        <v>1723</v>
      </c>
      <c r="H540" s="1">
        <v>3.5684120611377802E-8</v>
      </c>
      <c r="I540" s="1">
        <v>1.01699743742427E-6</v>
      </c>
      <c r="J540" s="1">
        <v>8.4984550403412802E-7</v>
      </c>
      <c r="K540" t="s">
        <v>1724</v>
      </c>
      <c r="L540">
        <v>11</v>
      </c>
    </row>
    <row r="541" spans="1:12">
      <c r="A541" t="s">
        <v>1725</v>
      </c>
      <c r="B541" t="s">
        <v>1689</v>
      </c>
      <c r="C541" t="s">
        <v>1725</v>
      </c>
      <c r="D541" t="s">
        <v>1726</v>
      </c>
      <c r="F541" t="s">
        <v>1727</v>
      </c>
      <c r="G541" t="s">
        <v>1728</v>
      </c>
      <c r="H541" s="1">
        <v>1.0271852674123999E-6</v>
      </c>
      <c r="I541" s="1">
        <v>2.6022026774447401E-5</v>
      </c>
      <c r="J541" s="1">
        <v>2.1745091625923201E-5</v>
      </c>
      <c r="K541" t="s">
        <v>275</v>
      </c>
      <c r="L541">
        <v>6</v>
      </c>
    </row>
    <row r="542" spans="1:12">
      <c r="A542" t="s">
        <v>1729</v>
      </c>
      <c r="B542" t="s">
        <v>1689</v>
      </c>
      <c r="C542" t="s">
        <v>1729</v>
      </c>
      <c r="D542" t="s">
        <v>1730</v>
      </c>
      <c r="F542" t="s">
        <v>1717</v>
      </c>
      <c r="G542" t="s">
        <v>1731</v>
      </c>
      <c r="H542" s="1">
        <v>1.5908069911361899E-6</v>
      </c>
      <c r="I542" s="1">
        <v>3.6270399397905201E-5</v>
      </c>
      <c r="J542" s="1">
        <v>3.03090595153317E-5</v>
      </c>
      <c r="K542" t="s">
        <v>294</v>
      </c>
      <c r="L542">
        <v>5</v>
      </c>
    </row>
    <row r="543" spans="1:12">
      <c r="A543" t="s">
        <v>1732</v>
      </c>
      <c r="B543" t="s">
        <v>1689</v>
      </c>
      <c r="C543" t="s">
        <v>1732</v>
      </c>
      <c r="D543" t="s">
        <v>1733</v>
      </c>
      <c r="F543" t="s">
        <v>1734</v>
      </c>
      <c r="G543" t="s">
        <v>1735</v>
      </c>
      <c r="H543" s="1">
        <v>7.9423257411579592E-6</v>
      </c>
      <c r="I543">
        <v>1.6270403986886399E-4</v>
      </c>
      <c r="J543">
        <v>1.3596228631701E-4</v>
      </c>
      <c r="K543" t="s">
        <v>192</v>
      </c>
      <c r="L543">
        <v>7</v>
      </c>
    </row>
    <row r="544" spans="1:12">
      <c r="A544" t="s">
        <v>1736</v>
      </c>
      <c r="B544" t="s">
        <v>1689</v>
      </c>
      <c r="C544" t="s">
        <v>1736</v>
      </c>
      <c r="D544" t="s">
        <v>1737</v>
      </c>
      <c r="F544" t="s">
        <v>1738</v>
      </c>
      <c r="G544" t="s">
        <v>1739</v>
      </c>
      <c r="H544" s="1">
        <v>8.5633705194138894E-6</v>
      </c>
      <c r="I544">
        <v>1.6270403986886399E-4</v>
      </c>
      <c r="J544">
        <v>1.3596228631701E-4</v>
      </c>
      <c r="K544" t="s">
        <v>1740</v>
      </c>
      <c r="L544">
        <v>3</v>
      </c>
    </row>
    <row r="545" spans="1:12">
      <c r="A545" t="s">
        <v>1741</v>
      </c>
      <c r="B545" t="s">
        <v>1689</v>
      </c>
      <c r="C545" t="s">
        <v>1741</v>
      </c>
      <c r="D545" t="s">
        <v>1742</v>
      </c>
      <c r="F545" t="s">
        <v>1738</v>
      </c>
      <c r="G545" t="s">
        <v>1743</v>
      </c>
      <c r="H545" s="1">
        <v>4.7500065662933603E-5</v>
      </c>
      <c r="I545">
        <v>8.3307807470375805E-4</v>
      </c>
      <c r="J545">
        <v>6.9615480850129395E-4</v>
      </c>
      <c r="K545" t="s">
        <v>1744</v>
      </c>
      <c r="L545">
        <v>3</v>
      </c>
    </row>
    <row r="546" spans="1:12">
      <c r="A546" t="s">
        <v>1745</v>
      </c>
      <c r="B546" t="s">
        <v>1689</v>
      </c>
      <c r="C546" t="s">
        <v>1745</v>
      </c>
      <c r="D546" t="s">
        <v>1746</v>
      </c>
      <c r="F546" t="s">
        <v>1738</v>
      </c>
      <c r="G546" t="s">
        <v>1747</v>
      </c>
      <c r="H546">
        <v>3.00878090664163E-4</v>
      </c>
      <c r="I546">
        <v>4.8395854499784603E-3</v>
      </c>
      <c r="J546">
        <v>4.0441595865471002E-3</v>
      </c>
      <c r="K546" t="s">
        <v>1748</v>
      </c>
      <c r="L546">
        <v>3</v>
      </c>
    </row>
    <row r="547" spans="1:12">
      <c r="A547" t="s">
        <v>1749</v>
      </c>
      <c r="B547" t="s">
        <v>1689</v>
      </c>
      <c r="C547" t="s">
        <v>1749</v>
      </c>
      <c r="D547" t="s">
        <v>1750</v>
      </c>
      <c r="F547" t="s">
        <v>1717</v>
      </c>
      <c r="G547" t="s">
        <v>1751</v>
      </c>
      <c r="H547">
        <v>3.1839377960384598E-4</v>
      </c>
      <c r="I547">
        <v>4.8395854499784603E-3</v>
      </c>
      <c r="J547">
        <v>4.0441595865471002E-3</v>
      </c>
      <c r="K547" t="s">
        <v>1752</v>
      </c>
      <c r="L547">
        <v>5</v>
      </c>
    </row>
    <row r="548" spans="1:12">
      <c r="A548" t="s">
        <v>1753</v>
      </c>
      <c r="B548" t="s">
        <v>1689</v>
      </c>
      <c r="C548" t="s">
        <v>1753</v>
      </c>
      <c r="D548" t="s">
        <v>1754</v>
      </c>
      <c r="F548" t="s">
        <v>1717</v>
      </c>
      <c r="G548" t="s">
        <v>1755</v>
      </c>
      <c r="H548">
        <v>6.2065983461645003E-4</v>
      </c>
      <c r="I548">
        <v>8.8444026432844096E-3</v>
      </c>
      <c r="J548">
        <v>7.3907519779985199E-3</v>
      </c>
      <c r="K548" t="s">
        <v>1756</v>
      </c>
      <c r="L548">
        <v>5</v>
      </c>
    </row>
    <row r="549" spans="1:12">
      <c r="A549" t="s">
        <v>1757</v>
      </c>
      <c r="B549" t="s">
        <v>1689</v>
      </c>
      <c r="C549" t="s">
        <v>1757</v>
      </c>
      <c r="D549" t="s">
        <v>1758</v>
      </c>
      <c r="F549" t="s">
        <v>1759</v>
      </c>
      <c r="G549" t="s">
        <v>1739</v>
      </c>
      <c r="H549">
        <v>7.7825521540642495E-4</v>
      </c>
      <c r="I549">
        <v>1.0437775830156801E-2</v>
      </c>
      <c r="J549">
        <v>8.7222411138429094E-3</v>
      </c>
      <c r="K549" t="s">
        <v>1121</v>
      </c>
      <c r="L549">
        <v>2</v>
      </c>
    </row>
    <row r="550" spans="1:12">
      <c r="A550" t="s">
        <v>1760</v>
      </c>
      <c r="B550" t="s">
        <v>1689</v>
      </c>
      <c r="C550" t="s">
        <v>1760</v>
      </c>
      <c r="D550" t="s">
        <v>1761</v>
      </c>
      <c r="F550" t="s">
        <v>1759</v>
      </c>
      <c r="G550" t="s">
        <v>1762</v>
      </c>
      <c r="H550">
        <v>1.1351898657020001E-3</v>
      </c>
      <c r="I550">
        <v>1.43790716322253E-2</v>
      </c>
      <c r="J550">
        <v>1.2015752379652699E-2</v>
      </c>
      <c r="K550" t="s">
        <v>999</v>
      </c>
      <c r="L550">
        <v>2</v>
      </c>
    </row>
    <row r="551" spans="1:12">
      <c r="A551" t="s">
        <v>1763</v>
      </c>
      <c r="B551" t="s">
        <v>1689</v>
      </c>
      <c r="C551" t="s">
        <v>1763</v>
      </c>
      <c r="D551" t="s">
        <v>1764</v>
      </c>
      <c r="F551" t="s">
        <v>1759</v>
      </c>
      <c r="G551" t="s">
        <v>1765</v>
      </c>
      <c r="H551">
        <v>1.79117980881523E-3</v>
      </c>
      <c r="I551">
        <v>2.1494157705782699E-2</v>
      </c>
      <c r="J551">
        <v>1.7961415257371501E-2</v>
      </c>
      <c r="K551" t="s">
        <v>999</v>
      </c>
      <c r="L551">
        <v>2</v>
      </c>
    </row>
    <row r="552" spans="1:12">
      <c r="A552" t="s">
        <v>1766</v>
      </c>
      <c r="B552" t="s">
        <v>1689</v>
      </c>
      <c r="C552" t="s">
        <v>1766</v>
      </c>
      <c r="D552" t="s">
        <v>1767</v>
      </c>
      <c r="F552" t="s">
        <v>1738</v>
      </c>
      <c r="G552" t="s">
        <v>1768</v>
      </c>
      <c r="H552">
        <v>3.1252248921184102E-3</v>
      </c>
      <c r="I552">
        <v>3.5627563770149903E-2</v>
      </c>
      <c r="J552">
        <v>2.9771879235443801E-2</v>
      </c>
      <c r="K552" t="s">
        <v>1769</v>
      </c>
      <c r="L552">
        <v>3</v>
      </c>
    </row>
    <row r="553" spans="1:12">
      <c r="A553" t="s">
        <v>1770</v>
      </c>
      <c r="B553" t="s">
        <v>1689</v>
      </c>
      <c r="C553" t="s">
        <v>1770</v>
      </c>
      <c r="D553" t="s">
        <v>1771</v>
      </c>
      <c r="F553" t="s">
        <v>1759</v>
      </c>
      <c r="G553" t="s">
        <v>1772</v>
      </c>
      <c r="H553">
        <v>4.59361713127855E-3</v>
      </c>
      <c r="I553">
        <v>4.7606577542341301E-2</v>
      </c>
      <c r="J553">
        <v>3.9782043098632397E-2</v>
      </c>
      <c r="K553" t="s">
        <v>1773</v>
      </c>
      <c r="L553">
        <v>2</v>
      </c>
    </row>
    <row r="554" spans="1:12">
      <c r="A554" t="s">
        <v>1774</v>
      </c>
      <c r="B554" t="s">
        <v>1689</v>
      </c>
      <c r="C554" t="s">
        <v>1774</v>
      </c>
      <c r="D554" t="s">
        <v>1775</v>
      </c>
      <c r="F554" t="s">
        <v>1759</v>
      </c>
      <c r="G554" t="s">
        <v>1772</v>
      </c>
      <c r="H554">
        <v>4.59361713127855E-3</v>
      </c>
      <c r="I554">
        <v>4.7606577542341301E-2</v>
      </c>
      <c r="J554">
        <v>3.9782043098632397E-2</v>
      </c>
      <c r="K554" t="s">
        <v>1776</v>
      </c>
      <c r="L554">
        <v>2</v>
      </c>
    </row>
    <row r="555" spans="1:12">
      <c r="A555" t="s">
        <v>1777</v>
      </c>
      <c r="B555" t="s">
        <v>1689</v>
      </c>
      <c r="C555" t="s">
        <v>1777</v>
      </c>
      <c r="D555" t="s">
        <v>1778</v>
      </c>
      <c r="F555" t="s">
        <v>1738</v>
      </c>
      <c r="G555" t="s">
        <v>1779</v>
      </c>
      <c r="H555">
        <v>4.9080611013170398E-3</v>
      </c>
      <c r="I555">
        <v>4.8653823091316703E-2</v>
      </c>
      <c r="J555">
        <v>4.0657165187111398E-2</v>
      </c>
      <c r="K555" t="s">
        <v>1740</v>
      </c>
      <c r="L555">
        <v>3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1D833-F9C4-624E-9372-BB6DD8D8E88D}">
  <dimension ref="A1:M11"/>
  <sheetViews>
    <sheetView tabSelected="1" topLeftCell="B1" workbookViewId="0">
      <selection activeCell="M2" sqref="M2:M11"/>
    </sheetView>
  </sheetViews>
  <sheetFormatPr baseColWidth="10" defaultRowHeight="16"/>
  <cols>
    <col min="4" max="4" width="32.5" customWidth="1"/>
    <col min="5" max="5" width="77.6640625" customWidth="1"/>
  </cols>
  <sheetData>
    <row r="1" spans="1:13">
      <c r="B1" t="s">
        <v>0</v>
      </c>
      <c r="C1" t="s">
        <v>1</v>
      </c>
      <c r="D1" t="s">
        <v>2</v>
      </c>
      <c r="E1" s="2" t="s">
        <v>1780</v>
      </c>
      <c r="F1" t="s">
        <v>3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>
      <c r="A2" t="s">
        <v>46</v>
      </c>
      <c r="B2" t="s">
        <v>11</v>
      </c>
      <c r="C2" t="s">
        <v>46</v>
      </c>
      <c r="D2" t="s">
        <v>47</v>
      </c>
      <c r="E2" s="2" t="s">
        <v>1785</v>
      </c>
      <c r="F2" t="s">
        <v>48</v>
      </c>
      <c r="G2">
        <f>20/76</f>
        <v>0.26315789473684209</v>
      </c>
      <c r="H2" t="s">
        <v>49</v>
      </c>
      <c r="I2" s="1">
        <v>6.7583852786095003E-17</v>
      </c>
      <c r="J2" s="1">
        <v>1.6467932128878501E-14</v>
      </c>
      <c r="K2" s="1">
        <v>1.0679039194621599E-14</v>
      </c>
      <c r="L2" t="s">
        <v>50</v>
      </c>
      <c r="M2">
        <v>20</v>
      </c>
    </row>
    <row r="3" spans="1:13">
      <c r="A3" t="s">
        <v>38</v>
      </c>
      <c r="B3" t="s">
        <v>11</v>
      </c>
      <c r="C3" t="s">
        <v>38</v>
      </c>
      <c r="D3" t="s">
        <v>39</v>
      </c>
      <c r="E3" s="2" t="s">
        <v>1784</v>
      </c>
      <c r="F3" t="s">
        <v>31</v>
      </c>
      <c r="G3">
        <f>19/76</f>
        <v>0.25</v>
      </c>
      <c r="H3" t="s">
        <v>40</v>
      </c>
      <c r="I3" s="1">
        <v>2.0690474952608399E-17</v>
      </c>
      <c r="J3" s="1">
        <v>6.4820302244386199E-15</v>
      </c>
      <c r="K3" s="1">
        <v>4.2034333324773001E-15</v>
      </c>
      <c r="L3" t="s">
        <v>41</v>
      </c>
      <c r="M3">
        <v>19</v>
      </c>
    </row>
    <row r="4" spans="1:13">
      <c r="A4" t="s">
        <v>57</v>
      </c>
      <c r="B4" t="s">
        <v>11</v>
      </c>
      <c r="C4" t="s">
        <v>57</v>
      </c>
      <c r="D4" t="s">
        <v>58</v>
      </c>
      <c r="E4" s="2" t="s">
        <v>1786</v>
      </c>
      <c r="F4" t="s">
        <v>31</v>
      </c>
      <c r="G4">
        <f>19/76</f>
        <v>0.25</v>
      </c>
      <c r="H4" t="s">
        <v>59</v>
      </c>
      <c r="I4" s="1">
        <v>6.2219735440332605E-14</v>
      </c>
      <c r="J4" s="1">
        <v>1.13706566517208E-11</v>
      </c>
      <c r="K4" s="1">
        <v>7.3735844368324001E-12</v>
      </c>
      <c r="L4" t="s">
        <v>60</v>
      </c>
      <c r="M4">
        <v>19</v>
      </c>
    </row>
    <row r="5" spans="1:13">
      <c r="A5" t="s">
        <v>34</v>
      </c>
      <c r="B5" t="s">
        <v>11</v>
      </c>
      <c r="C5" t="s">
        <v>34</v>
      </c>
      <c r="D5" t="s">
        <v>35</v>
      </c>
      <c r="E5" s="2" t="s">
        <v>1783</v>
      </c>
      <c r="F5" t="s">
        <v>13</v>
      </c>
      <c r="G5">
        <f>18/76</f>
        <v>0.23684210526315788</v>
      </c>
      <c r="H5" t="s">
        <v>36</v>
      </c>
      <c r="I5" s="1">
        <v>2.5210746542479801E-18</v>
      </c>
      <c r="J5" s="1">
        <v>9.2145278612763594E-16</v>
      </c>
      <c r="K5" s="1">
        <v>5.9753892243666999E-16</v>
      </c>
      <c r="L5" t="s">
        <v>37</v>
      </c>
      <c r="M5">
        <v>18</v>
      </c>
    </row>
    <row r="6" spans="1:13">
      <c r="A6" t="s">
        <v>16</v>
      </c>
      <c r="B6" t="s">
        <v>11</v>
      </c>
      <c r="C6" t="s">
        <v>16</v>
      </c>
      <c r="D6" t="s">
        <v>17</v>
      </c>
      <c r="E6" s="2" t="s">
        <v>1781</v>
      </c>
      <c r="F6" t="s">
        <v>18</v>
      </c>
      <c r="G6">
        <f>17/76</f>
        <v>0.22368421052631579</v>
      </c>
      <c r="H6" t="s">
        <v>19</v>
      </c>
      <c r="I6" s="1">
        <v>1.5894640617081701E-21</v>
      </c>
      <c r="J6" s="1">
        <v>1.1618982291086801E-18</v>
      </c>
      <c r="K6" s="1">
        <v>7.5346173591850704E-19</v>
      </c>
      <c r="L6" t="s">
        <v>20</v>
      </c>
      <c r="M6">
        <v>17</v>
      </c>
    </row>
    <row r="7" spans="1:13">
      <c r="A7" t="s">
        <v>24</v>
      </c>
      <c r="B7" t="s">
        <v>11</v>
      </c>
      <c r="C7" t="s">
        <v>24</v>
      </c>
      <c r="D7" t="s">
        <v>25</v>
      </c>
      <c r="E7" s="2" t="s">
        <v>1782</v>
      </c>
      <c r="F7" t="s">
        <v>26</v>
      </c>
      <c r="G7">
        <f>16/76</f>
        <v>0.21052631578947367</v>
      </c>
      <c r="H7" t="s">
        <v>27</v>
      </c>
      <c r="I7" s="1">
        <v>2.4154896248601101E-21</v>
      </c>
      <c r="J7" s="1">
        <v>1.3242921868295499E-18</v>
      </c>
      <c r="K7" s="1">
        <v>8.5877012715421201E-19</v>
      </c>
      <c r="L7" t="s">
        <v>28</v>
      </c>
      <c r="M7">
        <v>16</v>
      </c>
    </row>
    <row r="8" spans="1:13">
      <c r="A8" t="s">
        <v>61</v>
      </c>
      <c r="B8" t="s">
        <v>11</v>
      </c>
      <c r="C8" t="s">
        <v>61</v>
      </c>
      <c r="D8" t="s">
        <v>62</v>
      </c>
      <c r="E8" s="2" t="s">
        <v>1787</v>
      </c>
      <c r="F8" t="s">
        <v>63</v>
      </c>
      <c r="G8">
        <f>11/76</f>
        <v>0.14473684210526316</v>
      </c>
      <c r="H8" t="s">
        <v>64</v>
      </c>
      <c r="I8" s="1">
        <v>6.7479593859370994E-14</v>
      </c>
      <c r="J8" s="1">
        <v>1.1383288410277001E-11</v>
      </c>
      <c r="K8" s="1">
        <v>7.3817758140898897E-12</v>
      </c>
      <c r="L8" t="s">
        <v>65</v>
      </c>
      <c r="M8">
        <v>11</v>
      </c>
    </row>
    <row r="9" spans="1:13">
      <c r="A9" t="s">
        <v>83</v>
      </c>
      <c r="B9" t="s">
        <v>11</v>
      </c>
      <c r="C9" t="s">
        <v>83</v>
      </c>
      <c r="D9" t="s">
        <v>84</v>
      </c>
      <c r="E9" s="2" t="s">
        <v>1788</v>
      </c>
      <c r="F9" t="s">
        <v>85</v>
      </c>
      <c r="G9">
        <f>10/76</f>
        <v>0.13157894736842105</v>
      </c>
      <c r="H9" t="s">
        <v>86</v>
      </c>
      <c r="I9" s="1">
        <v>2.22718897243213E-11</v>
      </c>
      <c r="J9" s="1">
        <v>2.5706449560756201E-9</v>
      </c>
      <c r="K9" s="1">
        <v>1.6669985051278699E-9</v>
      </c>
      <c r="L9" t="s">
        <v>87</v>
      </c>
      <c r="M9">
        <v>10</v>
      </c>
    </row>
    <row r="10" spans="1:13">
      <c r="A10" t="s">
        <v>276</v>
      </c>
      <c r="B10" t="s">
        <v>11</v>
      </c>
      <c r="C10" t="s">
        <v>276</v>
      </c>
      <c r="D10" t="s">
        <v>277</v>
      </c>
      <c r="F10" t="s">
        <v>85</v>
      </c>
      <c r="G10">
        <f>10/76</f>
        <v>0.13157894736842105</v>
      </c>
      <c r="H10" t="s">
        <v>278</v>
      </c>
      <c r="I10" s="1">
        <v>4.4260649188921102E-6</v>
      </c>
      <c r="J10">
        <v>1.4274059363427E-4</v>
      </c>
      <c r="K10" s="1">
        <v>9.2563679650514499E-5</v>
      </c>
      <c r="L10" t="s">
        <v>279</v>
      </c>
      <c r="M10">
        <v>10</v>
      </c>
    </row>
    <row r="11" spans="1:13">
      <c r="A11" t="s">
        <v>112</v>
      </c>
      <c r="B11" t="s">
        <v>11</v>
      </c>
      <c r="C11" t="s">
        <v>112</v>
      </c>
      <c r="D11" t="s">
        <v>113</v>
      </c>
      <c r="E11" s="2" t="s">
        <v>1789</v>
      </c>
      <c r="F11" t="s">
        <v>114</v>
      </c>
      <c r="G11">
        <f>7/76</f>
        <v>9.2105263157894732E-2</v>
      </c>
      <c r="H11" t="s">
        <v>115</v>
      </c>
      <c r="I11" s="1">
        <v>1.3860042268193E-8</v>
      </c>
      <c r="J11" s="1">
        <v>1.12822777118723E-6</v>
      </c>
      <c r="K11" s="1">
        <v>7.3162729204116E-7</v>
      </c>
      <c r="L11" t="s">
        <v>116</v>
      </c>
      <c r="M11">
        <v>7</v>
      </c>
    </row>
  </sheetData>
  <sortState xmlns:xlrd2="http://schemas.microsoft.com/office/spreadsheetml/2017/richdata2" ref="A2:M12">
    <sortCondition descending="1" ref="G1:G12"/>
  </sortState>
  <phoneticPr fontId="18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低表达组上调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inspir19@163.com</dc:creator>
  <cp:lastModifiedBy>inspir19@163.com</cp:lastModifiedBy>
  <dcterms:created xsi:type="dcterms:W3CDTF">2025-02-13T08:50:24Z</dcterms:created>
  <dcterms:modified xsi:type="dcterms:W3CDTF">2025-02-13T09:13:58Z</dcterms:modified>
</cp:coreProperties>
</file>