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新的/"/>
    </mc:Choice>
  </mc:AlternateContent>
  <xr:revisionPtr revIDLastSave="0" documentId="13_ncr:1_{CCC664A3-FBD5-5A4B-933C-A9A866EEE608}" xr6:coauthVersionLast="47" xr6:coauthVersionMax="47" xr10:uidLastSave="{00000000-0000-0000-0000-000000000000}"/>
  <bookViews>
    <workbookView xWindow="12800" yWindow="1840" windowWidth="27040" windowHeight="14640" xr2:uid="{3A62939B-CA23-9243-A419-7FB734AB3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<sst xmlns="http://schemas.openxmlformats.org/spreadsheetml/2006/main" count="25" uniqueCount="25">
  <si>
    <t>Term_ID</t>
  </si>
  <si>
    <t>Term_description</t>
  </si>
  <si>
    <t>ListHit</t>
  </si>
  <si>
    <t>FoldEnrichment</t>
  </si>
  <si>
    <t>p-value</t>
    <phoneticPr fontId="1" type="noConversion"/>
  </si>
  <si>
    <t>GO:0019882</t>
  </si>
  <si>
    <t>antigen processing and presentation</t>
  </si>
  <si>
    <t>GO:0030833</t>
  </si>
  <si>
    <t>regulation of actin filament polymerization</t>
  </si>
  <si>
    <t>GO:0008064</t>
  </si>
  <si>
    <t>regulation of actin polymerization or depolymerization</t>
  </si>
  <si>
    <t>GO:0030832</t>
  </si>
  <si>
    <t>regulation of actin filament length</t>
  </si>
  <si>
    <t>GO:0030041</t>
  </si>
  <si>
    <t>actin filament polymerization</t>
  </si>
  <si>
    <t>GO:0006909</t>
  </si>
  <si>
    <t>phagocytosis</t>
  </si>
  <si>
    <t>GO:0019884</t>
  </si>
  <si>
    <t>antigen processing and presentation of exogenous antigen</t>
  </si>
  <si>
    <t>GO:0030834</t>
  </si>
  <si>
    <t>regulation of actin filament depolymerization</t>
  </si>
  <si>
    <t>GO:0042255</t>
  </si>
  <si>
    <t>ribosome assembly</t>
  </si>
  <si>
    <t>GO:0034314</t>
  </si>
  <si>
    <t>Arp2/3 complex-mediated actin nucleation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</si>
</sst>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3E4-846E-9D45-9990-379F6798CA7F}">
  <dimension ref="A1:E11"/>
  <sheetViews>
    <sheetView tabSelected="1" workbookViewId="0">
      <selection activeCell="D2" sqref="D2:D11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</v>
      </c>
      <c r="D2">
        <f>7/117</f>
        <v>5.9829059829059832E-2</v>
      </c>
      <c r="E2" s="1">
        <v>2.69953143952305E-5</v>
      </c>
    </row>
    <row r="3" spans="1:5">
      <c r="A3" t="s">
        <v>7</v>
      </c>
      <c r="B3" t="s">
        <v>8</v>
      </c>
      <c r="C3">
        <v>9</v>
      </c>
      <c r="D3">
        <f>9/117</f>
        <v>7.6923076923076927E-2</v>
      </c>
      <c r="E3" s="1">
        <v>2.17170474966597E-7</v>
      </c>
    </row>
    <row r="4" spans="1:5">
      <c r="A4" t="s">
        <v>9</v>
      </c>
      <c r="B4" t="s">
        <v>10</v>
      </c>
      <c r="C4">
        <v>10</v>
      </c>
      <c r="D4">
        <f>7/117</f>
        <v>5.9829059829059832E-2</v>
      </c>
      <c r="E4" s="1">
        <v>4.6883030042728601E-7</v>
      </c>
    </row>
    <row r="5" spans="1:5">
      <c r="A5" t="s">
        <v>11</v>
      </c>
      <c r="B5" t="s">
        <v>12</v>
      </c>
      <c r="C5">
        <v>10</v>
      </c>
      <c r="D5">
        <f>9/117</f>
        <v>7.6923076923076927E-2</v>
      </c>
      <c r="E5" s="1">
        <v>4.9083545126165005E-7</v>
      </c>
    </row>
    <row r="6" spans="1:5">
      <c r="A6" t="s">
        <v>13</v>
      </c>
      <c r="B6" t="s">
        <v>14</v>
      </c>
      <c r="C6">
        <v>9</v>
      </c>
      <c r="D6">
        <f>9/117</f>
        <v>7.6923076923076927E-2</v>
      </c>
      <c r="E6" s="1">
        <v>6.3912327925551903E-7</v>
      </c>
    </row>
    <row r="7" spans="1:5">
      <c r="A7" t="s">
        <v>15</v>
      </c>
      <c r="B7" t="s">
        <v>16</v>
      </c>
      <c r="C7">
        <v>8</v>
      </c>
      <c r="D7">
        <f>7/117</f>
        <v>5.9829059829059832E-2</v>
      </c>
      <c r="E7">
        <v>1.2472927614179001E-4</v>
      </c>
    </row>
    <row r="8" spans="1:5">
      <c r="A8" t="s">
        <v>17</v>
      </c>
      <c r="B8" t="s">
        <v>18</v>
      </c>
      <c r="C8">
        <v>7</v>
      </c>
      <c r="D8">
        <f>5/117</f>
        <v>4.2735042735042736E-2</v>
      </c>
      <c r="E8">
        <v>2.7181972406950598E-4</v>
      </c>
    </row>
    <row r="9" spans="1:5">
      <c r="A9" t="s">
        <v>19</v>
      </c>
      <c r="B9" t="s">
        <v>20</v>
      </c>
      <c r="C9">
        <v>4</v>
      </c>
      <c r="D9">
        <f>4/117</f>
        <v>3.4188034188034191E-2</v>
      </c>
      <c r="E9">
        <v>7.0545239644923896E-4</v>
      </c>
    </row>
    <row r="10" spans="1:5">
      <c r="A10" t="s">
        <v>21</v>
      </c>
      <c r="B10" t="s">
        <v>22</v>
      </c>
      <c r="C10">
        <v>4</v>
      </c>
      <c r="D10">
        <f>4/117</f>
        <v>3.4188034188034191E-2</v>
      </c>
      <c r="E10">
        <v>7.4740922973768904E-4</v>
      </c>
    </row>
    <row r="11" spans="1:5">
      <c r="A11" t="s">
        <v>23</v>
      </c>
      <c r="B11" t="s">
        <v>24</v>
      </c>
      <c r="C11">
        <v>8</v>
      </c>
      <c r="D11">
        <f>3/117</f>
        <v>2.564102564102564E-2</v>
      </c>
      <c r="E11">
        <v>2.3238150353481501E-3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2025-02-13T15:03:29Z</dcterms:created>
  <dcterms:modified xsi:type="dcterms:W3CDTF">2025-02-13T16:04:21Z</dcterms:modified>
</cp:coreProperties>
</file>