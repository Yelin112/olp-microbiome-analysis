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exp/CA/enrichment/新的/"/>
    </mc:Choice>
  </mc:AlternateContent>
  <xr:revisionPtr revIDLastSave="0" documentId="13_ncr:1_{474E8D9C-C499-2C48-A006-B975031E2BF2}" xr6:coauthVersionLast="47" xr6:coauthVersionMax="47" xr10:uidLastSave="{00000000-0000-0000-0000-000000000000}"/>
  <bookViews>
    <workbookView xWindow="1760" yWindow="1940" windowWidth="27040" windowHeight="14640" xr2:uid="{3A62939B-CA23-9243-A419-7FB734AB3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<sst xmlns="http://schemas.openxmlformats.org/spreadsheetml/2006/main" count="35" uniqueCount="34">
  <si>
    <t>Term_ID</t>
  </si>
  <si>
    <t>Term_description</t>
  </si>
  <si>
    <t>ListHit</t>
  </si>
  <si>
    <t>FoldEnrichment</t>
  </si>
  <si>
    <t>p-value</t>
    <phoneticPr fontId="1" type="noConversion"/>
  </si>
  <si>
    <t>hsa04657</t>
  </si>
  <si>
    <t>hsa04060</t>
  </si>
  <si>
    <t>Cytokine-cytokine receptor interaction</t>
  </si>
  <si>
    <t>hsa04668</t>
  </si>
  <si>
    <t>TNF signaling pathway</t>
  </si>
  <si>
    <t>hsa04064</t>
  </si>
  <si>
    <t>NF-kappa B signaling pathway</t>
  </si>
  <si>
    <t>hsa04062</t>
  </si>
  <si>
    <t>Chemokine signaling pathway</t>
  </si>
  <si>
    <t>hsa04621</t>
  </si>
  <si>
    <t>NOD-like receptor signaling pathway</t>
  </si>
  <si>
    <t>hsa04620</t>
  </si>
  <si>
    <t>Toll-like receptor signaling pathway</t>
  </si>
  <si>
    <t>hsa04625</t>
  </si>
  <si>
    <t>C-type lectin receptor signaling pathway</t>
  </si>
  <si>
    <t>hsa05205</t>
  </si>
  <si>
    <t>Proteoglycans in cancer</t>
  </si>
  <si>
    <t>hsa03320</t>
  </si>
  <si>
    <t>PPAR signaling pathway</t>
  </si>
  <si>
    <t>15/53</t>
  </si>
  <si>
    <t>16/53</t>
  </si>
  <si>
    <t>10/53</t>
  </si>
  <si>
    <t>9/53</t>
  </si>
  <si>
    <t>8/53</t>
  </si>
  <si>
    <t>6/53</t>
  </si>
  <si>
    <t>4/53</t>
  </si>
  <si>
    <t>5/53</t>
  </si>
  <si>
    <t>3/53</t>
  </si>
  <si>
    <t>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</si>
</sst>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3E4-846E-9D45-9990-379F6798CA7F}">
  <dimension ref="A1:F11"/>
  <sheetViews>
    <sheetView tabSelected="1" workbookViewId="0">
      <selection activeCell="B2" sqref="B2:B11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33</v>
      </c>
      <c r="C2">
        <v>15</v>
      </c>
      <c r="D2" s="1">
        <f>15/53</f>
        <v>0.28301886792452829</v>
      </c>
      <c r="E2" s="2">
        <v>6.9497445449213699E-18</v>
      </c>
      <c r="F2" t="s">
        <v>24</v>
      </c>
    </row>
    <row r="3" spans="1:6">
      <c r="A3" t="s">
        <v>6</v>
      </c>
      <c r="B3" t="s">
        <v>7</v>
      </c>
      <c r="C3">
        <v>16</v>
      </c>
      <c r="D3" s="1">
        <f>16/53</f>
        <v>0.30188679245283018</v>
      </c>
      <c r="E3" s="2">
        <v>1.49561473931502E-11</v>
      </c>
      <c r="F3" t="s">
        <v>25</v>
      </c>
    </row>
    <row r="4" spans="1:6">
      <c r="A4" t="s">
        <v>8</v>
      </c>
      <c r="B4" t="s">
        <v>9</v>
      </c>
      <c r="C4">
        <v>10</v>
      </c>
      <c r="D4" s="1">
        <f>10/53</f>
        <v>0.18867924528301888</v>
      </c>
      <c r="E4" s="2">
        <v>2.21661418626557E-9</v>
      </c>
      <c r="F4" t="s">
        <v>26</v>
      </c>
    </row>
    <row r="5" spans="1:6">
      <c r="A5" t="s">
        <v>10</v>
      </c>
      <c r="B5" t="s">
        <v>11</v>
      </c>
      <c r="C5">
        <v>9</v>
      </c>
      <c r="D5" s="1">
        <f>9/53</f>
        <v>0.16981132075471697</v>
      </c>
      <c r="E5" s="2">
        <v>1.28213199171637E-8</v>
      </c>
      <c r="F5" t="s">
        <v>27</v>
      </c>
    </row>
    <row r="6" spans="1:6">
      <c r="A6" t="s">
        <v>12</v>
      </c>
      <c r="B6" t="s">
        <v>13</v>
      </c>
      <c r="C6">
        <v>10</v>
      </c>
      <c r="D6" s="1">
        <f>10/53</f>
        <v>0.18867924528301888</v>
      </c>
      <c r="E6" s="2">
        <v>2.3044491163115799E-7</v>
      </c>
      <c r="F6" t="s">
        <v>26</v>
      </c>
    </row>
    <row r="7" spans="1:6">
      <c r="A7" t="s">
        <v>14</v>
      </c>
      <c r="B7" t="s">
        <v>15</v>
      </c>
      <c r="C7">
        <v>8</v>
      </c>
      <c r="D7" s="1">
        <f>8/53</f>
        <v>0.15094339622641509</v>
      </c>
      <c r="E7" s="2">
        <v>1.8734769588190999E-5</v>
      </c>
      <c r="F7" t="s">
        <v>28</v>
      </c>
    </row>
    <row r="8" spans="1:6">
      <c r="A8" t="s">
        <v>16</v>
      </c>
      <c r="B8" t="s">
        <v>17</v>
      </c>
      <c r="C8">
        <v>6</v>
      </c>
      <c r="D8" s="1">
        <f>6/53</f>
        <v>0.11320754716981132</v>
      </c>
      <c r="E8" s="2">
        <v>5.3059590004502802E-5</v>
      </c>
      <c r="F8" t="s">
        <v>29</v>
      </c>
    </row>
    <row r="9" spans="1:6">
      <c r="A9" t="s">
        <v>18</v>
      </c>
      <c r="B9" t="s">
        <v>19</v>
      </c>
      <c r="C9">
        <v>4</v>
      </c>
      <c r="D9" s="1">
        <f>4/53</f>
        <v>7.5471698113207544E-2</v>
      </c>
      <c r="E9">
        <v>3.9784303375724802E-3</v>
      </c>
      <c r="F9" t="s">
        <v>30</v>
      </c>
    </row>
    <row r="10" spans="1:6">
      <c r="A10" t="s">
        <v>20</v>
      </c>
      <c r="B10" t="s">
        <v>21</v>
      </c>
      <c r="C10">
        <v>5</v>
      </c>
      <c r="D10">
        <f>5/53</f>
        <v>9.4339622641509441E-2</v>
      </c>
      <c r="E10">
        <v>8.3837932207340305E-3</v>
      </c>
      <c r="F10" t="s">
        <v>31</v>
      </c>
    </row>
    <row r="11" spans="1:6">
      <c r="A11" t="s">
        <v>22</v>
      </c>
      <c r="B11" t="s">
        <v>23</v>
      </c>
      <c r="C11">
        <v>3</v>
      </c>
      <c r="D11">
        <f>3/53</f>
        <v>5.6603773584905662E-2</v>
      </c>
      <c r="E11">
        <v>1.1532868396776801E-2</v>
      </c>
      <c r="F1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2025-02-13T15:03:29Z</dcterms:created>
  <dcterms:modified xsi:type="dcterms:W3CDTF">2025-02-13T16:53:07Z</dcterms:modified>
</cp:coreProperties>
</file>