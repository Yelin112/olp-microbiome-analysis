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ggyxu/Desktop/🍩毕业论文20240129/🍩图和数据/单细胞/20250127 结果反馈/exp/CA/enrichment/新的/"/>
    </mc:Choice>
  </mc:AlternateContent>
  <xr:revisionPtr revIDLastSave="0" documentId="13_ncr:40009_{D34307B7-451B-0B45-9A5A-0AB7C921B55B}" xr6:coauthVersionLast="47" xr6:coauthVersionMax="47" xr10:uidLastSave="{00000000-0000-0000-0000-000000000000}"/>
  <bookViews>
    <workbookView xWindow="660" yWindow="980" windowWidth="27840" windowHeight="15680" activeTab="1"/>
  </bookViews>
  <sheets>
    <sheet name="在高表达组上调-KEGG" sheetId="1" r:id="rId1"/>
    <sheet name="Sheet1" sheetId="2" r:id="rId2"/>
    <sheet name="Sheet3" sheetId="4" r:id="rId3"/>
    <sheet name="在高表达组上调-KEGG (2)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2" l="1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<sst xmlns="http://schemas.openxmlformats.org/spreadsheetml/2006/main" count="619" uniqueCount="212">
  <si>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</si>
  <si>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</si>
  <si>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</si>
  <si>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</si>
  <si>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</si>
  <si>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</si>
  <si>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</si>
  <si>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</si>
  <si>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</si>
  <si>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hsa03050</t>
  </si>
  <si>
    <t>Proteasome</t>
  </si>
  <si>
    <t>8/80</t>
  </si>
  <si>
    <t>46/8541</t>
  </si>
  <si>
    <t>PSME2/PSMB8/PSMB9/PSMA5/PSMA4/PSME1/PSMB1/PSMA7</t>
  </si>
  <si>
    <t>hsa05012</t>
  </si>
  <si>
    <t>Parkinson disease</t>
  </si>
  <si>
    <t>15/80</t>
  </si>
  <si>
    <t>271/8541</t>
  </si>
  <si>
    <t>TUBA1B/SLC25A5/TUBA1A/COX5A/TUBB/PARK7/PSMA5/PSMA4/CYC1/UBE2L6/PSMB1/PSMA7/NDUFS8/CALM2/VDAC1</t>
  </si>
  <si>
    <t>hsa05014</t>
  </si>
  <si>
    <t>Amyotrophic lateral sclerosis</t>
  </si>
  <si>
    <t>371/8541</t>
  </si>
  <si>
    <t>TUBA1B/TUBA1A/COX5A/TUBB/ACTG1/PSMA5/PSMA4/ACTB/HNRNPA1/CYC1/PSMB1/PSMA7/SRSF7/NDUFS8/VDAC1</t>
  </si>
  <si>
    <t>hsa05020</t>
  </si>
  <si>
    <t>Prion disease</t>
  </si>
  <si>
    <t>12/80</t>
  </si>
  <si>
    <t>278/8541</t>
  </si>
  <si>
    <t>TUBA1B/SLC25A5/TUBA1A/COX5A/TUBB/PSMA5/PSMA4/CYC1/PSMB1/PSMA7/NDUFS8/VDAC1</t>
  </si>
  <si>
    <t>hsa04530</t>
  </si>
  <si>
    <t>Tight junction</t>
  </si>
  <si>
    <t>9/80</t>
  </si>
  <si>
    <t>170/8541</t>
  </si>
  <si>
    <t>TUBA1B/TUBA1A/ARPC3/ARPC1B/ACTG1/ACTB/CD1A/ARPC2/CD1C</t>
  </si>
  <si>
    <t>hsa05016</t>
  </si>
  <si>
    <t>Huntington disease</t>
  </si>
  <si>
    <t>311/8541</t>
  </si>
  <si>
    <t>hsa05022</t>
  </si>
  <si>
    <t>Pathways of neurodegeneration - multiple diseases</t>
  </si>
  <si>
    <t>483/8541</t>
  </si>
  <si>
    <t>hsa05010</t>
  </si>
  <si>
    <t>Alzheimer disease</t>
  </si>
  <si>
    <t>13/80</t>
  </si>
  <si>
    <t>391/8541</t>
  </si>
  <si>
    <t>TUBA1B/SLC25A5/TUBA1A/COX5A/TUBB/PSMA5/PSMA4/CYC1/PSMB1/PSMA7/NDUFS8/CALM2/VDAC1</t>
  </si>
  <si>
    <t>hsa04145</t>
  </si>
  <si>
    <t>Phagosome</t>
  </si>
  <si>
    <t>159/8541</t>
  </si>
  <si>
    <t>TUBA1B/CORO1A/TUBA1A/TUBB/ACTG1/ACTB/HLA-DQB1/TAP1</t>
  </si>
  <si>
    <t>hsa05130</t>
  </si>
  <si>
    <t>Pathogenic Escherichia coli infection</t>
  </si>
  <si>
    <t>203/8541</t>
  </si>
  <si>
    <t>TUBA1B/TUBA1A/ARPC3/TUBB/ARPC1B/ACTG1/ACTB/ARPC2</t>
  </si>
  <si>
    <t>hsa01200</t>
  </si>
  <si>
    <t>Carbon metabolism</t>
  </si>
  <si>
    <t>6/80</t>
  </si>
  <si>
    <t>116/8541</t>
  </si>
  <si>
    <t>FBP1/IDH2/ENO1/MDH2/PGAM1/ECHS1</t>
  </si>
  <si>
    <t>hsa05100</t>
  </si>
  <si>
    <t>Bacterial invasion of epithelial cells</t>
  </si>
  <si>
    <t>5/80</t>
  </si>
  <si>
    <t>78/8541</t>
  </si>
  <si>
    <t>ARPC3/ARPC1B/ACTG1/ACTB/ARPC2</t>
  </si>
  <si>
    <t>hsa03010</t>
  </si>
  <si>
    <t>Ribosome</t>
  </si>
  <si>
    <t>7/80</t>
  </si>
  <si>
    <t>172/8541</t>
  </si>
  <si>
    <t>RPSA/RPS4Y1/RPL5/RPL4/RPL14/RPL7A/RPL10A</t>
  </si>
  <si>
    <t>hsa05017</t>
  </si>
  <si>
    <t>Spinocerebellar ataxia</t>
  </si>
  <si>
    <t>144/8541</t>
  </si>
  <si>
    <t>SLC25A5/PSMA5/PSMA4/PSMB1/PSMA7/VDAC1</t>
  </si>
  <si>
    <t>hsa04666</t>
  </si>
  <si>
    <t>Fc gamma R-mediated phagocytosis</t>
  </si>
  <si>
    <t>99/8541</t>
  </si>
  <si>
    <t>GSN/ARPC3/ARPC1B/CFL1/ARPC2</t>
  </si>
  <si>
    <t>hsa05132</t>
  </si>
  <si>
    <t>Salmonella infection</t>
  </si>
  <si>
    <t>251/8541</t>
  </si>
  <si>
    <t>hsa00010</t>
  </si>
  <si>
    <t>Glycolysis / Gluconeogenesis</t>
  </si>
  <si>
    <t>4/80</t>
  </si>
  <si>
    <t>67/8541</t>
  </si>
  <si>
    <t>FBP1/LDHB/ENO1/PGAM1</t>
  </si>
  <si>
    <t>hsa04810</t>
  </si>
  <si>
    <t>Regulation of actin cytoskeleton</t>
  </si>
  <si>
    <t>232/8541</t>
  </si>
  <si>
    <t>GSN/ARPC3/ARPC1B/ACTG1/ACTB/CFL1/ARPC2</t>
  </si>
  <si>
    <t>hsa05171</t>
  </si>
  <si>
    <t>Coronavirus disease - COVID-19</t>
  </si>
  <si>
    <t>238/8541</t>
  </si>
  <si>
    <t>hsa04612</t>
  </si>
  <si>
    <t>Antigen processing and presentation</t>
  </si>
  <si>
    <t>81/8541</t>
  </si>
  <si>
    <t>PSME2/PSME1/HLA-DQB1/TAP1</t>
  </si>
  <si>
    <t>hsa04210</t>
  </si>
  <si>
    <t>Apoptosis</t>
  </si>
  <si>
    <t>136/8541</t>
  </si>
  <si>
    <t>TUBA1B/TUBA1A/ACTG1/ACTB/CTSH</t>
  </si>
  <si>
    <t>hsa05135</t>
  </si>
  <si>
    <t>Yersinia infection</t>
  </si>
  <si>
    <t>138/8541</t>
  </si>
  <si>
    <t>hsa04814</t>
  </si>
  <si>
    <t>Motor proteins</t>
  </si>
  <si>
    <t>197/8541</t>
  </si>
  <si>
    <t>TUBA1B/TUBA1A/TUBB/ACTG1/ACTB/CAPZB</t>
  </si>
  <si>
    <t>hsa04922</t>
  </si>
  <si>
    <t>Glucagon signaling pathway</t>
  </si>
  <si>
    <t>107/8541</t>
  </si>
  <si>
    <t>FBP1/LDHB/PGAM1/CALM2</t>
  </si>
  <si>
    <t>hsa05164</t>
  </si>
  <si>
    <t>Influenza A</t>
  </si>
  <si>
    <t>173/8541</t>
  </si>
  <si>
    <t>SLC25A5/ACTG1/ACTB/HLA-DQB1/VDAC1</t>
  </si>
  <si>
    <t>hsa05416</t>
  </si>
  <si>
    <t>Viral myocarditis</t>
  </si>
  <si>
    <t>3/80</t>
  </si>
  <si>
    <t>70/8541</t>
  </si>
  <si>
    <t>ACTG1/ACTB/HLA-DQB1</t>
  </si>
  <si>
    <t>hsa05152</t>
  </si>
  <si>
    <t>Tuberculosis</t>
  </si>
  <si>
    <t>182/8541</t>
  </si>
  <si>
    <t>CORO1A/LSP1/HSPD1/HLA-DQB1/CALM2</t>
  </si>
  <si>
    <t>hsa05230</t>
  </si>
  <si>
    <t>Central carbon metabolism in cancer</t>
  </si>
  <si>
    <t>71/8541</t>
  </si>
  <si>
    <t>LDHB/IDH2/PGAM1</t>
  </si>
  <si>
    <t>hsa05131</t>
  </si>
  <si>
    <t>Shigellosis</t>
  </si>
  <si>
    <t>250/8541</t>
  </si>
  <si>
    <t>ARPC3/ARPC1B/ACTG1/ACTB/ARPC2/VDAC1</t>
  </si>
  <si>
    <t>hsa00020</t>
  </si>
  <si>
    <t>Citrate cycle (TCA cycle)</t>
  </si>
  <si>
    <t>2/80</t>
  </si>
  <si>
    <t>30/8541</t>
  </si>
  <si>
    <t>IDH2/MDH2</t>
  </si>
  <si>
    <t>hsa01230</t>
  </si>
  <si>
    <t>Biosynthesis of amino acids</t>
  </si>
  <si>
    <t>75/8541</t>
  </si>
  <si>
    <t>IDH2/ENO1/PGAM1</t>
  </si>
  <si>
    <t>hsa04971</t>
  </si>
  <si>
    <t>Gastric acid secretion</t>
  </si>
  <si>
    <t>76/8541</t>
  </si>
  <si>
    <t>ACTG1/ACTB/CALM2</t>
  </si>
  <si>
    <t>hsa04613</t>
  </si>
  <si>
    <t>Neutrophil extracellular trap formation</t>
  </si>
  <si>
    <t>193/8541</t>
  </si>
  <si>
    <t>SLC25A5/ACTG1/HMGB1/ACTB/VDAC1</t>
  </si>
  <si>
    <t>hsa00640</t>
  </si>
  <si>
    <t>Propanoate metabolism</t>
  </si>
  <si>
    <t>32/8541</t>
  </si>
  <si>
    <t>LDHB/ECHS1</t>
  </si>
  <si>
    <t>hsa05310</t>
  </si>
  <si>
    <t>Asthma</t>
  </si>
  <si>
    <t>FCER1A/HLA-DQB1</t>
  </si>
  <si>
    <t>hsa03018</t>
  </si>
  <si>
    <t>RNA degradation</t>
  </si>
  <si>
    <t>ENO1/HSPD1/LSM4</t>
  </si>
  <si>
    <t>hsa00190</t>
  </si>
  <si>
    <t>Oxidative phosphorylation</t>
  </si>
  <si>
    <t>PPA1/COX5A/CYC1/NDUFS8</t>
  </si>
  <si>
    <t>hsa05415</t>
  </si>
  <si>
    <t>Diabetic cardiomyopathy</t>
  </si>
  <si>
    <t>205/8541</t>
  </si>
  <si>
    <t>SLC25A5/COX5A/CYC1/NDUFS8/VDAC1</t>
  </si>
  <si>
    <t>hsa01232</t>
  </si>
  <si>
    <t>Nucleotide metabolism</t>
  </si>
  <si>
    <t>85/8541</t>
  </si>
  <si>
    <t>NME1/APRT/DUT</t>
  </si>
  <si>
    <t>Term_ID</t>
  </si>
  <si>
    <t>Term_description</t>
  </si>
  <si>
    <t>ListHit</t>
  </si>
  <si>
    <t>FoldEnrichment</t>
  </si>
  <si>
    <t>p-value</t>
    <phoneticPr fontId="18" type="noConversion"/>
  </si>
  <si>
    <t>蛋白酶体</t>
  </si>
  <si>
    <t>帕金森病</t>
  </si>
  <si>
    <t>肌萎缩侧索硬化症</t>
  </si>
  <si>
    <t>朊病毒病</t>
  </si>
  <si>
    <t>紧密连接</t>
  </si>
  <si>
    <t>亨廷顿病</t>
  </si>
  <si>
    <t>神经退行性疾病通路 - 多种疾病</t>
  </si>
  <si>
    <t>阿尔茨海默病</t>
  </si>
  <si>
    <t>吞噬体</t>
  </si>
  <si>
    <t>致病性大肠埃希氏菌感染</t>
  </si>
  <si>
    <t>碳代谢</t>
  </si>
  <si>
    <t>细菌入侵上皮细胞</t>
  </si>
  <si>
    <t>核糖体</t>
  </si>
  <si>
    <t>脊髓小脑共济失调</t>
  </si>
  <si>
    <t>Fc γ受体介导的吞噬作用</t>
  </si>
  <si>
    <t>沙门氏菌感染</t>
  </si>
  <si>
    <t>糖酵解 / 糠酸新生</t>
  </si>
  <si>
    <t>细胞骨架的调节</t>
  </si>
  <si>
    <t>新型冠状病毒肺炎 - COVID-19</t>
  </si>
  <si>
    <t>抗原处理与呈递</t>
  </si>
  <si>
    <t>细胞凋亡</t>
  </si>
  <si>
    <t>耶尔森菌感染</t>
  </si>
  <si>
    <t>动力蛋白</t>
  </si>
  <si>
    <t>胰高血糖素信号通路</t>
  </si>
  <si>
    <t>流感A型</t>
  </si>
  <si>
    <t>病毒性心肌炎</t>
  </si>
  <si>
    <t>结核病</t>
  </si>
  <si>
    <t>癌症中的中心碳代谢</t>
  </si>
  <si>
    <t>志贺氏菌病</t>
  </si>
  <si>
    <t>柠檬酸循环（TCA循环）</t>
  </si>
  <si>
    <t>氨基酸的生物合成</t>
  </si>
  <si>
    <t>胃酸分泌</t>
  </si>
  <si>
    <t>中性粒细胞外陷阱形成</t>
  </si>
  <si>
    <t>丙酸代谢</t>
  </si>
  <si>
    <t>哮喘</t>
  </si>
  <si>
    <t>RNA降解</t>
  </si>
  <si>
    <t>氧化磷酸化</t>
  </si>
  <si>
    <t>糖尿病性心肌病</t>
  </si>
  <si>
    <t>核苷酸代谢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</si>
</sst>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33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>
      <selection activeCell="A2" sqref="A2:XFD2"/>
    </sheetView>
  </sheetViews>
  <sheetFormatPr baseColWidth="10" defaultRowHeight="16"/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 t="s">
        <v>9</v>
      </c>
      <c r="C2" t="s">
        <v>10</v>
      </c>
      <c r="D2" t="s">
        <v>11</v>
      </c>
      <c r="E2" t="s">
        <v>12</v>
      </c>
      <c r="F2" s="1">
        <v>8.11612167671054E-9</v>
      </c>
      <c r="G2" s="1">
        <v>1.43655353677776E-6</v>
      </c>
      <c r="H2" s="1">
        <v>1.1789734646169E-6</v>
      </c>
      <c r="I2" t="s">
        <v>13</v>
      </c>
      <c r="J2">
        <v>8</v>
      </c>
    </row>
    <row r="3" spans="1:10">
      <c r="A3" t="s">
        <v>14</v>
      </c>
      <c r="B3" t="s">
        <v>14</v>
      </c>
      <c r="C3" t="s">
        <v>15</v>
      </c>
      <c r="D3" t="s">
        <v>16</v>
      </c>
      <c r="E3" t="s">
        <v>17</v>
      </c>
      <c r="F3" s="1">
        <v>2.3555259966092601E-8</v>
      </c>
      <c r="G3" s="1">
        <v>2.0846405069992E-6</v>
      </c>
      <c r="H3" s="1">
        <v>1.7108557238530399E-6</v>
      </c>
      <c r="I3" t="s">
        <v>18</v>
      </c>
      <c r="J3">
        <v>15</v>
      </c>
    </row>
    <row r="4" spans="1:10">
      <c r="A4" t="s">
        <v>19</v>
      </c>
      <c r="B4" t="s">
        <v>19</v>
      </c>
      <c r="C4" t="s">
        <v>20</v>
      </c>
      <c r="D4" t="s">
        <v>16</v>
      </c>
      <c r="E4" t="s">
        <v>21</v>
      </c>
      <c r="F4" s="1">
        <v>1.3992641684392299E-6</v>
      </c>
      <c r="G4" s="1">
        <v>8.2556585937914494E-5</v>
      </c>
      <c r="H4" s="1">
        <v>6.7753843945478402E-5</v>
      </c>
      <c r="I4" t="s">
        <v>22</v>
      </c>
      <c r="J4">
        <v>15</v>
      </c>
    </row>
    <row r="5" spans="1:10">
      <c r="A5" t="s">
        <v>23</v>
      </c>
      <c r="B5" t="s">
        <v>23</v>
      </c>
      <c r="C5" t="s">
        <v>24</v>
      </c>
      <c r="D5" t="s">
        <v>25</v>
      </c>
      <c r="E5" t="s">
        <v>26</v>
      </c>
      <c r="F5" s="1">
        <v>9.3110146847142696E-6</v>
      </c>
      <c r="G5">
        <v>4.1201239979860602E-4</v>
      </c>
      <c r="H5">
        <v>3.3813684907646599E-4</v>
      </c>
      <c r="I5" t="s">
        <v>27</v>
      </c>
      <c r="J5">
        <v>12</v>
      </c>
    </row>
    <row r="6" spans="1:10">
      <c r="A6" t="s">
        <v>28</v>
      </c>
      <c r="B6" t="s">
        <v>28</v>
      </c>
      <c r="C6" t="s">
        <v>29</v>
      </c>
      <c r="D6" t="s">
        <v>30</v>
      </c>
      <c r="E6" t="s">
        <v>31</v>
      </c>
      <c r="F6" s="1">
        <v>2.7377482428022802E-5</v>
      </c>
      <c r="G6">
        <v>8.4540604210349402E-4</v>
      </c>
      <c r="H6">
        <v>6.9382119423301895E-4</v>
      </c>
      <c r="I6" t="s">
        <v>32</v>
      </c>
      <c r="J6">
        <v>9</v>
      </c>
    </row>
    <row r="7" spans="1:10">
      <c r="A7" t="s">
        <v>33</v>
      </c>
      <c r="B7" t="s">
        <v>33</v>
      </c>
      <c r="C7" t="s">
        <v>34</v>
      </c>
      <c r="D7" t="s">
        <v>25</v>
      </c>
      <c r="E7" t="s">
        <v>35</v>
      </c>
      <c r="F7" s="1">
        <v>2.86578319357117E-5</v>
      </c>
      <c r="G7">
        <v>8.4540604210349402E-4</v>
      </c>
      <c r="H7">
        <v>6.9382119423301895E-4</v>
      </c>
      <c r="I7" t="s">
        <v>27</v>
      </c>
      <c r="J7">
        <v>12</v>
      </c>
    </row>
    <row r="8" spans="1:10">
      <c r="A8" t="s">
        <v>36</v>
      </c>
      <c r="B8" t="s">
        <v>36</v>
      </c>
      <c r="C8" t="s">
        <v>37</v>
      </c>
      <c r="D8" t="s">
        <v>16</v>
      </c>
      <c r="E8" t="s">
        <v>38</v>
      </c>
      <c r="F8" s="1">
        <v>3.4167617928899401E-5</v>
      </c>
      <c r="G8">
        <v>8.6395262477359904E-4</v>
      </c>
      <c r="H8">
        <v>7.0904229687039297E-4</v>
      </c>
      <c r="I8" t="s">
        <v>18</v>
      </c>
      <c r="J8">
        <v>15</v>
      </c>
    </row>
    <row r="9" spans="1:10">
      <c r="A9" t="s">
        <v>39</v>
      </c>
      <c r="B9" t="s">
        <v>39</v>
      </c>
      <c r="C9" t="s">
        <v>40</v>
      </c>
      <c r="D9" t="s">
        <v>41</v>
      </c>
      <c r="E9" t="s">
        <v>42</v>
      </c>
      <c r="F9" s="1">
        <v>6.1148913232117401E-5</v>
      </c>
      <c r="G9">
        <v>1.3529197052606001E-3</v>
      </c>
      <c r="H9">
        <v>1.11033552974108E-3</v>
      </c>
      <c r="I9" t="s">
        <v>43</v>
      </c>
      <c r="J9">
        <v>13</v>
      </c>
    </row>
    <row r="10" spans="1:10">
      <c r="A10" t="s">
        <v>44</v>
      </c>
      <c r="B10" t="s">
        <v>44</v>
      </c>
      <c r="C10" t="s">
        <v>45</v>
      </c>
      <c r="D10" t="s">
        <v>11</v>
      </c>
      <c r="E10" t="s">
        <v>46</v>
      </c>
      <c r="F10">
        <v>1.12513386248389E-4</v>
      </c>
      <c r="G10">
        <v>2.2127632628849898E-3</v>
      </c>
      <c r="H10">
        <v>1.81600553243014E-3</v>
      </c>
      <c r="I10" t="s">
        <v>47</v>
      </c>
      <c r="J10">
        <v>8</v>
      </c>
    </row>
    <row r="11" spans="1:10">
      <c r="A11" t="s">
        <v>48</v>
      </c>
      <c r="B11" t="s">
        <v>48</v>
      </c>
      <c r="C11" t="s">
        <v>49</v>
      </c>
      <c r="D11" t="s">
        <v>11</v>
      </c>
      <c r="E11" t="s">
        <v>50</v>
      </c>
      <c r="F11">
        <v>5.9329321695312403E-4</v>
      </c>
      <c r="G11">
        <v>1.05012899400703E-2</v>
      </c>
      <c r="H11">
        <v>8.6183646252138008E-3</v>
      </c>
      <c r="I11" t="s">
        <v>51</v>
      </c>
      <c r="J11">
        <v>8</v>
      </c>
    </row>
    <row r="12" spans="1:10">
      <c r="A12" t="s">
        <v>52</v>
      </c>
      <c r="B12" t="s">
        <v>52</v>
      </c>
      <c r="C12" t="s">
        <v>53</v>
      </c>
      <c r="D12" t="s">
        <v>54</v>
      </c>
      <c r="E12" t="s">
        <v>55</v>
      </c>
      <c r="F12">
        <v>7.3136930496632796E-4</v>
      </c>
      <c r="G12">
        <v>1.15987508291638E-2</v>
      </c>
      <c r="H12">
        <v>9.5190461755848901E-3</v>
      </c>
      <c r="I12" t="s">
        <v>56</v>
      </c>
      <c r="J12">
        <v>6</v>
      </c>
    </row>
    <row r="13" spans="1:10">
      <c r="A13" t="s">
        <v>57</v>
      </c>
      <c r="B13" t="s">
        <v>57</v>
      </c>
      <c r="C13" t="s">
        <v>58</v>
      </c>
      <c r="D13" t="s">
        <v>59</v>
      </c>
      <c r="E13" t="s">
        <v>60</v>
      </c>
      <c r="F13">
        <v>7.8635598841788202E-4</v>
      </c>
      <c r="G13">
        <v>1.15987508291638E-2</v>
      </c>
      <c r="H13">
        <v>9.5190461755848901E-3</v>
      </c>
      <c r="I13" t="s">
        <v>61</v>
      </c>
      <c r="J13">
        <v>5</v>
      </c>
    </row>
    <row r="14" spans="1:10">
      <c r="A14" t="s">
        <v>62</v>
      </c>
      <c r="B14" t="s">
        <v>62</v>
      </c>
      <c r="C14" t="s">
        <v>63</v>
      </c>
      <c r="D14" t="s">
        <v>64</v>
      </c>
      <c r="E14" t="s">
        <v>65</v>
      </c>
      <c r="F14">
        <v>1.09731344997777E-3</v>
      </c>
      <c r="G14">
        <v>1.4940344665081999E-2</v>
      </c>
      <c r="H14">
        <v>1.22614782264723E-2</v>
      </c>
      <c r="I14" t="s">
        <v>66</v>
      </c>
      <c r="J14">
        <v>7</v>
      </c>
    </row>
    <row r="15" spans="1:10">
      <c r="A15" t="s">
        <v>67</v>
      </c>
      <c r="B15" t="s">
        <v>67</v>
      </c>
      <c r="C15" t="s">
        <v>68</v>
      </c>
      <c r="D15" t="s">
        <v>54</v>
      </c>
      <c r="E15" t="s">
        <v>69</v>
      </c>
      <c r="F15">
        <v>2.2331107903523799E-3</v>
      </c>
      <c r="G15">
        <v>2.5679124210170299E-2</v>
      </c>
      <c r="H15">
        <v>2.10747495748052E-2</v>
      </c>
      <c r="I15" t="s">
        <v>70</v>
      </c>
      <c r="J15">
        <v>6</v>
      </c>
    </row>
    <row r="16" spans="1:10">
      <c r="A16" t="s">
        <v>71</v>
      </c>
      <c r="B16" t="s">
        <v>71</v>
      </c>
      <c r="C16" t="s">
        <v>72</v>
      </c>
      <c r="D16" t="s">
        <v>59</v>
      </c>
      <c r="E16" t="s">
        <v>73</v>
      </c>
      <c r="F16">
        <v>2.2868927049378399E-3</v>
      </c>
      <c r="G16">
        <v>2.5679124210170299E-2</v>
      </c>
      <c r="H16">
        <v>2.10747495748052E-2</v>
      </c>
      <c r="I16" t="s">
        <v>74</v>
      </c>
      <c r="J16">
        <v>5</v>
      </c>
    </row>
    <row r="17" spans="1:10">
      <c r="A17" t="s">
        <v>75</v>
      </c>
      <c r="B17" t="s">
        <v>75</v>
      </c>
      <c r="C17" t="s">
        <v>76</v>
      </c>
      <c r="D17" t="s">
        <v>11</v>
      </c>
      <c r="E17" t="s">
        <v>77</v>
      </c>
      <c r="F17">
        <v>2.3212767647611599E-3</v>
      </c>
      <c r="G17">
        <v>2.5679124210170299E-2</v>
      </c>
      <c r="H17">
        <v>2.10747495748052E-2</v>
      </c>
      <c r="I17" t="s">
        <v>51</v>
      </c>
      <c r="J17">
        <v>8</v>
      </c>
    </row>
    <row r="18" spans="1:10">
      <c r="A18" t="s">
        <v>78</v>
      </c>
      <c r="B18" t="s">
        <v>78</v>
      </c>
      <c r="C18" t="s">
        <v>79</v>
      </c>
      <c r="D18" t="s">
        <v>80</v>
      </c>
      <c r="E18" t="s">
        <v>81</v>
      </c>
      <c r="F18">
        <v>3.49796948055276E-3</v>
      </c>
      <c r="G18">
        <v>3.6420035179872898E-2</v>
      </c>
      <c r="H18">
        <v>2.9889770174382699E-2</v>
      </c>
      <c r="I18" t="s">
        <v>82</v>
      </c>
      <c r="J18">
        <v>4</v>
      </c>
    </row>
    <row r="19" spans="1:10">
      <c r="A19" t="s">
        <v>83</v>
      </c>
      <c r="B19" t="s">
        <v>83</v>
      </c>
      <c r="C19" t="s">
        <v>84</v>
      </c>
      <c r="D19" t="s">
        <v>64</v>
      </c>
      <c r="E19" t="s">
        <v>85</v>
      </c>
      <c r="F19">
        <v>5.8850327463971699E-3</v>
      </c>
      <c r="G19">
        <v>5.7869488672905499E-2</v>
      </c>
      <c r="H19">
        <v>4.7493246725310502E-2</v>
      </c>
      <c r="I19" t="s">
        <v>86</v>
      </c>
      <c r="J19">
        <v>7</v>
      </c>
    </row>
    <row r="20" spans="1:10">
      <c r="A20" t="s">
        <v>87</v>
      </c>
      <c r="B20" t="s">
        <v>87</v>
      </c>
      <c r="C20" t="s">
        <v>88</v>
      </c>
      <c r="D20" t="s">
        <v>64</v>
      </c>
      <c r="E20" t="s">
        <v>89</v>
      </c>
      <c r="F20">
        <v>6.7451614035199904E-3</v>
      </c>
      <c r="G20">
        <v>6.0892057656839499E-2</v>
      </c>
      <c r="H20">
        <v>4.9973856417745099E-2</v>
      </c>
      <c r="I20" t="s">
        <v>66</v>
      </c>
      <c r="J20">
        <v>7</v>
      </c>
    </row>
    <row r="21" spans="1:10">
      <c r="A21" t="s">
        <v>90</v>
      </c>
      <c r="B21" t="s">
        <v>90</v>
      </c>
      <c r="C21" t="s">
        <v>91</v>
      </c>
      <c r="D21" t="s">
        <v>80</v>
      </c>
      <c r="E21" t="s">
        <v>92</v>
      </c>
      <c r="F21">
        <v>6.8804584922982403E-3</v>
      </c>
      <c r="G21">
        <v>6.0892057656839499E-2</v>
      </c>
      <c r="H21">
        <v>4.9973856417745099E-2</v>
      </c>
      <c r="I21" t="s">
        <v>93</v>
      </c>
      <c r="J21">
        <v>4</v>
      </c>
    </row>
    <row r="22" spans="1:10">
      <c r="A22" t="s">
        <v>94</v>
      </c>
      <c r="B22" t="s">
        <v>94</v>
      </c>
      <c r="C22" t="s">
        <v>95</v>
      </c>
      <c r="D22" t="s">
        <v>59</v>
      </c>
      <c r="E22" t="s">
        <v>96</v>
      </c>
      <c r="F22">
        <v>8.8047640057179206E-3</v>
      </c>
      <c r="G22">
        <v>7.4211582333908094E-2</v>
      </c>
      <c r="H22">
        <v>6.0905134475642698E-2</v>
      </c>
      <c r="I22" t="s">
        <v>97</v>
      </c>
      <c r="J22">
        <v>5</v>
      </c>
    </row>
    <row r="23" spans="1:10">
      <c r="A23" t="s">
        <v>98</v>
      </c>
      <c r="B23" t="s">
        <v>98</v>
      </c>
      <c r="C23" t="s">
        <v>99</v>
      </c>
      <c r="D23" t="s">
        <v>59</v>
      </c>
      <c r="E23" t="s">
        <v>100</v>
      </c>
      <c r="F23">
        <v>9.3459941924835203E-3</v>
      </c>
      <c r="G23">
        <v>7.5192771457708293E-2</v>
      </c>
      <c r="H23">
        <v>6.1710392275728498E-2</v>
      </c>
      <c r="I23" t="s">
        <v>61</v>
      </c>
      <c r="J23">
        <v>5</v>
      </c>
    </row>
    <row r="24" spans="1:10">
      <c r="A24" t="s">
        <v>101</v>
      </c>
      <c r="B24" t="s">
        <v>101</v>
      </c>
      <c r="C24" t="s">
        <v>102</v>
      </c>
      <c r="D24" t="s">
        <v>54</v>
      </c>
      <c r="E24" t="s">
        <v>103</v>
      </c>
      <c r="F24">
        <v>1.0198131618148001E-2</v>
      </c>
      <c r="G24">
        <v>7.8481273757052106E-2</v>
      </c>
      <c r="H24">
        <v>6.4409252325145397E-2</v>
      </c>
      <c r="I24" t="s">
        <v>104</v>
      </c>
      <c r="J24">
        <v>6</v>
      </c>
    </row>
    <row r="25" spans="1:10">
      <c r="A25" t="s">
        <v>105</v>
      </c>
      <c r="B25" t="s">
        <v>105</v>
      </c>
      <c r="C25" t="s">
        <v>106</v>
      </c>
      <c r="D25" t="s">
        <v>80</v>
      </c>
      <c r="E25" t="s">
        <v>107</v>
      </c>
      <c r="F25">
        <v>1.7790384503125201E-2</v>
      </c>
      <c r="G25">
        <v>0.13120408571054801</v>
      </c>
      <c r="H25">
        <v>0.107678643045231</v>
      </c>
      <c r="I25" t="s">
        <v>108</v>
      </c>
      <c r="J25">
        <v>4</v>
      </c>
    </row>
    <row r="26" spans="1:10">
      <c r="A26" t="s">
        <v>109</v>
      </c>
      <c r="B26" t="s">
        <v>109</v>
      </c>
      <c r="C26" t="s">
        <v>110</v>
      </c>
      <c r="D26" t="s">
        <v>59</v>
      </c>
      <c r="E26" t="s">
        <v>111</v>
      </c>
      <c r="F26">
        <v>2.2837999201636899E-2</v>
      </c>
      <c r="G26">
        <v>0.161693034347589</v>
      </c>
      <c r="H26">
        <v>0.13270079536109</v>
      </c>
      <c r="I26" t="s">
        <v>112</v>
      </c>
      <c r="J26">
        <v>5</v>
      </c>
    </row>
    <row r="27" spans="1:10">
      <c r="A27" t="s">
        <v>113</v>
      </c>
      <c r="B27" t="s">
        <v>113</v>
      </c>
      <c r="C27" t="s">
        <v>114</v>
      </c>
      <c r="D27" t="s">
        <v>115</v>
      </c>
      <c r="E27" t="s">
        <v>116</v>
      </c>
      <c r="F27">
        <v>2.7653105271951101E-2</v>
      </c>
      <c r="G27">
        <v>0.17923824003459099</v>
      </c>
      <c r="H27">
        <v>0.14710007210689</v>
      </c>
      <c r="I27" t="s">
        <v>117</v>
      </c>
      <c r="J27">
        <v>3</v>
      </c>
    </row>
    <row r="28" spans="1:10">
      <c r="A28" t="s">
        <v>118</v>
      </c>
      <c r="B28" t="s">
        <v>118</v>
      </c>
      <c r="C28" t="s">
        <v>119</v>
      </c>
      <c r="D28" t="s">
        <v>59</v>
      </c>
      <c r="E28" t="s">
        <v>120</v>
      </c>
      <c r="F28">
        <v>2.7673147515248499E-2</v>
      </c>
      <c r="G28">
        <v>0.17923824003459099</v>
      </c>
      <c r="H28">
        <v>0.14710007210689</v>
      </c>
      <c r="I28" t="s">
        <v>121</v>
      </c>
      <c r="J28">
        <v>5</v>
      </c>
    </row>
    <row r="29" spans="1:10">
      <c r="A29" t="s">
        <v>122</v>
      </c>
      <c r="B29" t="s">
        <v>122</v>
      </c>
      <c r="C29" t="s">
        <v>123</v>
      </c>
      <c r="D29" t="s">
        <v>115</v>
      </c>
      <c r="E29" t="s">
        <v>124</v>
      </c>
      <c r="F29">
        <v>2.8682903438892599E-2</v>
      </c>
      <c r="G29">
        <v>0.17923824003459099</v>
      </c>
      <c r="H29">
        <v>0.14710007210689</v>
      </c>
      <c r="I29" t="s">
        <v>125</v>
      </c>
      <c r="J29">
        <v>3</v>
      </c>
    </row>
    <row r="30" spans="1:10">
      <c r="A30" t="s">
        <v>126</v>
      </c>
      <c r="B30" t="s">
        <v>126</v>
      </c>
      <c r="C30" t="s">
        <v>127</v>
      </c>
      <c r="D30" t="s">
        <v>54</v>
      </c>
      <c r="E30" t="s">
        <v>128</v>
      </c>
      <c r="F30">
        <v>2.9383698310784401E-2</v>
      </c>
      <c r="G30">
        <v>0.17923824003459099</v>
      </c>
      <c r="H30">
        <v>0.14710007210689</v>
      </c>
      <c r="I30" t="s">
        <v>129</v>
      </c>
      <c r="J30">
        <v>6</v>
      </c>
    </row>
    <row r="31" spans="1:10">
      <c r="A31" t="s">
        <v>130</v>
      </c>
      <c r="B31" t="s">
        <v>130</v>
      </c>
      <c r="C31" t="s">
        <v>131</v>
      </c>
      <c r="D31" t="s">
        <v>132</v>
      </c>
      <c r="E31" t="s">
        <v>133</v>
      </c>
      <c r="F31">
        <v>3.18166142134498E-2</v>
      </c>
      <c r="G31">
        <v>0.17923824003459099</v>
      </c>
      <c r="H31">
        <v>0.14710007210689</v>
      </c>
      <c r="I31" t="s">
        <v>134</v>
      </c>
      <c r="J31">
        <v>2</v>
      </c>
    </row>
    <row r="32" spans="1:10">
      <c r="A32" t="s">
        <v>135</v>
      </c>
      <c r="B32" t="s">
        <v>135</v>
      </c>
      <c r="C32" t="s">
        <v>136</v>
      </c>
      <c r="D32" t="s">
        <v>115</v>
      </c>
      <c r="E32" t="s">
        <v>137</v>
      </c>
      <c r="F32">
        <v>3.3003880930754202E-2</v>
      </c>
      <c r="G32">
        <v>0.17923824003459099</v>
      </c>
      <c r="H32">
        <v>0.14710007210689</v>
      </c>
      <c r="I32" t="s">
        <v>138</v>
      </c>
      <c r="J32">
        <v>3</v>
      </c>
    </row>
    <row r="33" spans="1:10">
      <c r="A33" t="s">
        <v>139</v>
      </c>
      <c r="B33" t="s">
        <v>139</v>
      </c>
      <c r="C33" t="s">
        <v>140</v>
      </c>
      <c r="D33" t="s">
        <v>115</v>
      </c>
      <c r="E33" t="s">
        <v>141</v>
      </c>
      <c r="F33">
        <v>3.4134359477191602E-2</v>
      </c>
      <c r="G33">
        <v>0.17923824003459099</v>
      </c>
      <c r="H33">
        <v>0.14710007210689</v>
      </c>
      <c r="I33" t="s">
        <v>142</v>
      </c>
      <c r="J33">
        <v>3</v>
      </c>
    </row>
    <row r="34" spans="1:10">
      <c r="A34" t="s">
        <v>143</v>
      </c>
      <c r="B34" t="s">
        <v>143</v>
      </c>
      <c r="C34" t="s">
        <v>144</v>
      </c>
      <c r="D34" t="s">
        <v>59</v>
      </c>
      <c r="E34" t="s">
        <v>145</v>
      </c>
      <c r="F34">
        <v>3.4413577432417401E-2</v>
      </c>
      <c r="G34">
        <v>0.17923824003459099</v>
      </c>
      <c r="H34">
        <v>0.14710007210689</v>
      </c>
      <c r="I34" t="s">
        <v>146</v>
      </c>
      <c r="J34">
        <v>5</v>
      </c>
    </row>
    <row r="35" spans="1:10">
      <c r="A35" t="s">
        <v>147</v>
      </c>
      <c r="B35" t="s">
        <v>147</v>
      </c>
      <c r="C35" t="s">
        <v>148</v>
      </c>
      <c r="D35" t="s">
        <v>132</v>
      </c>
      <c r="E35" t="s">
        <v>149</v>
      </c>
      <c r="F35">
        <v>3.5846452693196099E-2</v>
      </c>
      <c r="G35">
        <v>0.17923824003459099</v>
      </c>
      <c r="H35">
        <v>0.14710007210689</v>
      </c>
      <c r="I35" t="s">
        <v>150</v>
      </c>
      <c r="J35">
        <v>2</v>
      </c>
    </row>
    <row r="36" spans="1:10">
      <c r="A36" t="s">
        <v>151</v>
      </c>
      <c r="B36" t="s">
        <v>151</v>
      </c>
      <c r="C36" t="s">
        <v>152</v>
      </c>
      <c r="D36" t="s">
        <v>132</v>
      </c>
      <c r="E36" t="s">
        <v>149</v>
      </c>
      <c r="F36">
        <v>3.5846452693196099E-2</v>
      </c>
      <c r="G36">
        <v>0.17923824003459099</v>
      </c>
      <c r="H36">
        <v>0.14710007210689</v>
      </c>
      <c r="I36" t="s">
        <v>153</v>
      </c>
      <c r="J36">
        <v>2</v>
      </c>
    </row>
    <row r="37" spans="1:10">
      <c r="A37" t="s">
        <v>154</v>
      </c>
      <c r="B37" t="s">
        <v>154</v>
      </c>
      <c r="C37" t="s">
        <v>155</v>
      </c>
      <c r="D37" t="s">
        <v>115</v>
      </c>
      <c r="E37" t="s">
        <v>60</v>
      </c>
      <c r="F37">
        <v>3.64552352612727E-2</v>
      </c>
      <c r="G37">
        <v>0.17923824003459099</v>
      </c>
      <c r="H37">
        <v>0.14710007210689</v>
      </c>
      <c r="I37" t="s">
        <v>156</v>
      </c>
      <c r="J37">
        <v>3</v>
      </c>
    </row>
    <row r="38" spans="1:10">
      <c r="A38" t="s">
        <v>157</v>
      </c>
      <c r="B38" t="s">
        <v>157</v>
      </c>
      <c r="C38" t="s">
        <v>158</v>
      </c>
      <c r="D38" t="s">
        <v>80</v>
      </c>
      <c r="E38" t="s">
        <v>100</v>
      </c>
      <c r="F38">
        <v>4.0200465715313501E-2</v>
      </c>
      <c r="G38">
        <v>0.192310335989473</v>
      </c>
      <c r="H38">
        <v>0.15782828644988001</v>
      </c>
      <c r="I38" t="s">
        <v>159</v>
      </c>
      <c r="J38">
        <v>4</v>
      </c>
    </row>
    <row r="39" spans="1:10">
      <c r="A39" t="s">
        <v>160</v>
      </c>
      <c r="B39" t="s">
        <v>160</v>
      </c>
      <c r="C39" t="s">
        <v>161</v>
      </c>
      <c r="D39" t="s">
        <v>59</v>
      </c>
      <c r="E39" t="s">
        <v>162</v>
      </c>
      <c r="F39">
        <v>4.2844337792172199E-2</v>
      </c>
      <c r="G39">
        <v>0.19956441550564399</v>
      </c>
      <c r="H39">
        <v>0.16378167909472999</v>
      </c>
      <c r="I39" t="s">
        <v>163</v>
      </c>
      <c r="J39">
        <v>5</v>
      </c>
    </row>
    <row r="40" spans="1:10">
      <c r="A40" t="s">
        <v>164</v>
      </c>
      <c r="B40" t="s">
        <v>164</v>
      </c>
      <c r="C40" t="s">
        <v>165</v>
      </c>
      <c r="D40" t="s">
        <v>115</v>
      </c>
      <c r="E40" t="s">
        <v>166</v>
      </c>
      <c r="F40">
        <v>4.5200424615714697E-2</v>
      </c>
      <c r="G40">
        <v>0.20514038864055101</v>
      </c>
      <c r="H40">
        <v>0.168357856868249</v>
      </c>
      <c r="I40" t="s">
        <v>167</v>
      </c>
      <c r="J40">
        <v>3</v>
      </c>
    </row>
  </sheetData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sqref="A1:F11"/>
    </sheetView>
  </sheetViews>
  <sheetFormatPr baseColWidth="10" defaultRowHeight="16"/>
  <cols>
    <col min="2" max="2" width="35.1640625" customWidth="1"/>
  </cols>
  <sheetData>
    <row r="1" spans="1:6">
      <c r="A1" t="s">
        <v>168</v>
      </c>
      <c r="B1" t="s">
        <v>169</v>
      </c>
      <c r="C1" t="s">
        <v>170</v>
      </c>
      <c r="D1" t="s">
        <v>171</v>
      </c>
      <c r="E1" t="s">
        <v>172</v>
      </c>
    </row>
    <row r="2" spans="1:6">
      <c r="A2" s="2" t="s">
        <v>44</v>
      </c>
      <c r="B2" s="2" t="s">
        <v>45</v>
      </c>
      <c r="C2" s="2">
        <v>8</v>
      </c>
      <c r="D2" s="2">
        <v>0.1</v>
      </c>
      <c r="E2" s="2">
        <v>1.12513386248389E-4</v>
      </c>
      <c r="F2">
        <f>8/80</f>
        <v>0.1</v>
      </c>
    </row>
    <row r="3" spans="1:6">
      <c r="A3" s="2" t="s">
        <v>62</v>
      </c>
      <c r="B3" s="2" t="s">
        <v>63</v>
      </c>
      <c r="C3" s="2">
        <v>7</v>
      </c>
      <c r="D3" s="2">
        <v>8.7499999999999994E-2</v>
      </c>
      <c r="E3" s="2">
        <v>1.09731344997777E-3</v>
      </c>
      <c r="F3">
        <f>7/80</f>
        <v>8.7499999999999994E-2</v>
      </c>
    </row>
    <row r="4" spans="1:6">
      <c r="A4" s="2" t="s">
        <v>71</v>
      </c>
      <c r="B4" s="2" t="s">
        <v>72</v>
      </c>
      <c r="C4" s="2">
        <v>5</v>
      </c>
      <c r="D4" s="2">
        <v>6.25E-2</v>
      </c>
      <c r="E4" s="2">
        <v>2.2868927049378399E-3</v>
      </c>
      <c r="F4">
        <f>5/80</f>
        <v>6.25E-2</v>
      </c>
    </row>
    <row r="5" spans="1:6">
      <c r="A5" s="2" t="s">
        <v>83</v>
      </c>
      <c r="B5" s="2" t="s">
        <v>84</v>
      </c>
      <c r="C5" s="2">
        <v>7</v>
      </c>
      <c r="D5" s="2">
        <v>8.7499999999999994E-2</v>
      </c>
      <c r="E5" s="2">
        <v>5.8850327463971699E-3</v>
      </c>
      <c r="F5">
        <f>7/80</f>
        <v>8.7499999999999994E-2</v>
      </c>
    </row>
    <row r="6" spans="1:6">
      <c r="A6" s="2" t="s">
        <v>90</v>
      </c>
      <c r="B6" s="2" t="s">
        <v>91</v>
      </c>
      <c r="C6" s="2">
        <v>4</v>
      </c>
      <c r="D6" s="2">
        <v>0.05</v>
      </c>
      <c r="E6" s="2">
        <v>6.8804584922982403E-3</v>
      </c>
      <c r="F6">
        <f>4/80</f>
        <v>0.05</v>
      </c>
    </row>
    <row r="7" spans="1:6">
      <c r="A7" s="2" t="s">
        <v>94</v>
      </c>
      <c r="B7" s="2" t="s">
        <v>95</v>
      </c>
      <c r="C7" s="2">
        <v>5</v>
      </c>
      <c r="D7" s="2">
        <v>6.25E-2</v>
      </c>
      <c r="E7" s="2">
        <v>8.8047640057179206E-3</v>
      </c>
      <c r="F7">
        <f>5/80</f>
        <v>6.25E-2</v>
      </c>
    </row>
    <row r="8" spans="1:6">
      <c r="A8" s="2" t="s">
        <v>154</v>
      </c>
      <c r="B8" s="2" t="s">
        <v>155</v>
      </c>
      <c r="C8" s="2">
        <v>3</v>
      </c>
      <c r="D8" s="2">
        <v>3.7499999999999999E-2</v>
      </c>
      <c r="E8" s="2">
        <v>3.64552352612727E-2</v>
      </c>
      <c r="F8">
        <f>3/80</f>
        <v>3.7499999999999999E-2</v>
      </c>
    </row>
    <row r="9" spans="1:6">
      <c r="A9" s="2" t="s">
        <v>157</v>
      </c>
      <c r="B9" s="2" t="s">
        <v>158</v>
      </c>
      <c r="C9" s="2">
        <v>4</v>
      </c>
      <c r="D9" s="2">
        <v>0.05</v>
      </c>
      <c r="E9" s="2">
        <v>4.0200465715313501E-2</v>
      </c>
      <c r="F9">
        <f>4/80</f>
        <v>0.05</v>
      </c>
    </row>
    <row r="10" spans="1:6">
      <c r="A10" t="s">
        <v>143</v>
      </c>
      <c r="B10" t="s">
        <v>144</v>
      </c>
      <c r="C10">
        <v>5</v>
      </c>
      <c r="D10">
        <v>6.25E-2</v>
      </c>
      <c r="E10">
        <v>3.4413577432417401E-2</v>
      </c>
      <c r="F10">
        <f>5/80</f>
        <v>6.25E-2</v>
      </c>
    </row>
    <row r="11" spans="1:6">
      <c r="A11" t="s">
        <v>9</v>
      </c>
      <c r="B11" t="s">
        <v>10</v>
      </c>
      <c r="C11" s="2">
        <v>8</v>
      </c>
      <c r="D11">
        <v>0.1</v>
      </c>
      <c r="E11" s="1">
        <v>1.43655353677776E-6</v>
      </c>
      <c r="F11">
        <f>8/80</f>
        <v>0.1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selection activeCell="G1" sqref="G1:G10"/>
    </sheetView>
  </sheetViews>
  <sheetFormatPr baseColWidth="10" defaultRowHeight="16"/>
  <sheetData>
    <row r="1" spans="1:11" s="2" customFormat="1">
      <c r="A1" s="2" t="s">
        <v>44</v>
      </c>
      <c r="B1" s="2" t="s">
        <v>44</v>
      </c>
      <c r="C1" s="2" t="s">
        <v>45</v>
      </c>
      <c r="D1" s="2" t="s">
        <v>181</v>
      </c>
      <c r="E1" s="2" t="s">
        <v>11</v>
      </c>
      <c r="F1" s="2" t="s">
        <v>46</v>
      </c>
      <c r="G1" s="2">
        <v>1.12513386248389E-4</v>
      </c>
      <c r="H1" s="2">
        <v>2.2127632628849898E-3</v>
      </c>
      <c r="I1" s="2">
        <v>1.81600553243014E-3</v>
      </c>
      <c r="J1" s="2" t="s">
        <v>47</v>
      </c>
      <c r="K1" s="2">
        <v>8</v>
      </c>
    </row>
    <row r="2" spans="1:11" s="2" customFormat="1">
      <c r="A2" s="2" t="s">
        <v>62</v>
      </c>
      <c r="B2" s="2" t="s">
        <v>62</v>
      </c>
      <c r="C2" s="2" t="s">
        <v>63</v>
      </c>
      <c r="D2" s="2" t="s">
        <v>185</v>
      </c>
      <c r="E2" s="2" t="s">
        <v>64</v>
      </c>
      <c r="F2" s="2" t="s">
        <v>65</v>
      </c>
      <c r="G2" s="2">
        <v>1.09731344997777E-3</v>
      </c>
      <c r="H2" s="2">
        <v>1.4940344665081999E-2</v>
      </c>
      <c r="I2" s="2">
        <v>1.22614782264723E-2</v>
      </c>
      <c r="J2" s="2" t="s">
        <v>66</v>
      </c>
      <c r="K2" s="2">
        <v>7</v>
      </c>
    </row>
    <row r="3" spans="1:11" s="2" customFormat="1">
      <c r="A3" s="2" t="s">
        <v>71</v>
      </c>
      <c r="B3" s="2" t="s">
        <v>71</v>
      </c>
      <c r="C3" s="2" t="s">
        <v>72</v>
      </c>
      <c r="D3" s="2" t="s">
        <v>187</v>
      </c>
      <c r="E3" s="2" t="s">
        <v>59</v>
      </c>
      <c r="F3" s="2" t="s">
        <v>73</v>
      </c>
      <c r="G3" s="2">
        <v>2.2868927049378399E-3</v>
      </c>
      <c r="H3" s="2">
        <v>2.5679124210170299E-2</v>
      </c>
      <c r="I3" s="2">
        <v>2.10747495748052E-2</v>
      </c>
      <c r="J3" s="2" t="s">
        <v>74</v>
      </c>
      <c r="K3" s="2">
        <v>5</v>
      </c>
    </row>
    <row r="4" spans="1:11" s="2" customFormat="1">
      <c r="A4" s="2" t="s">
        <v>83</v>
      </c>
      <c r="B4" s="2" t="s">
        <v>83</v>
      </c>
      <c r="C4" s="2" t="s">
        <v>84</v>
      </c>
      <c r="D4" s="2" t="s">
        <v>190</v>
      </c>
      <c r="E4" s="2" t="s">
        <v>64</v>
      </c>
      <c r="F4" s="2" t="s">
        <v>85</v>
      </c>
      <c r="G4" s="2">
        <v>5.8850327463971699E-3</v>
      </c>
      <c r="H4" s="2">
        <v>5.7869488672905499E-2</v>
      </c>
      <c r="I4" s="2">
        <v>4.7493246725310502E-2</v>
      </c>
      <c r="J4" s="2" t="s">
        <v>86</v>
      </c>
      <c r="K4" s="2">
        <v>7</v>
      </c>
    </row>
    <row r="5" spans="1:11" s="2" customFormat="1">
      <c r="A5" s="2" t="s">
        <v>90</v>
      </c>
      <c r="B5" s="2" t="s">
        <v>90</v>
      </c>
      <c r="C5" s="2" t="s">
        <v>91</v>
      </c>
      <c r="D5" s="2" t="s">
        <v>192</v>
      </c>
      <c r="E5" s="2" t="s">
        <v>80</v>
      </c>
      <c r="F5" s="2" t="s">
        <v>92</v>
      </c>
      <c r="G5" s="2">
        <v>6.8804584922982403E-3</v>
      </c>
      <c r="H5" s="2">
        <v>6.0892057656839499E-2</v>
      </c>
      <c r="I5" s="2">
        <v>4.9973856417745099E-2</v>
      </c>
      <c r="J5" s="2" t="s">
        <v>93</v>
      </c>
      <c r="K5" s="2">
        <v>4</v>
      </c>
    </row>
    <row r="6" spans="1:11" s="2" customFormat="1">
      <c r="A6" s="2" t="s">
        <v>94</v>
      </c>
      <c r="B6" s="2" t="s">
        <v>94</v>
      </c>
      <c r="C6" s="2" t="s">
        <v>95</v>
      </c>
      <c r="D6" s="2" t="s">
        <v>193</v>
      </c>
      <c r="E6" s="2" t="s">
        <v>59</v>
      </c>
      <c r="F6" s="2" t="s">
        <v>96</v>
      </c>
      <c r="G6" s="2">
        <v>8.8047640057179206E-3</v>
      </c>
      <c r="H6" s="2">
        <v>7.4211582333908094E-2</v>
      </c>
      <c r="I6" s="2">
        <v>6.0905134475642698E-2</v>
      </c>
      <c r="J6" s="2" t="s">
        <v>97</v>
      </c>
      <c r="K6" s="2">
        <v>5</v>
      </c>
    </row>
    <row r="7" spans="1:11" s="2" customFormat="1">
      <c r="A7" s="2" t="s">
        <v>154</v>
      </c>
      <c r="B7" s="2" t="s">
        <v>154</v>
      </c>
      <c r="C7" s="2" t="s">
        <v>155</v>
      </c>
      <c r="D7" s="2" t="s">
        <v>208</v>
      </c>
      <c r="E7" s="2" t="s">
        <v>115</v>
      </c>
      <c r="F7" s="2" t="s">
        <v>60</v>
      </c>
      <c r="G7" s="2">
        <v>3.64552352612727E-2</v>
      </c>
      <c r="H7" s="2">
        <v>0.17923824003459099</v>
      </c>
      <c r="I7" s="2">
        <v>0.14710007210689</v>
      </c>
      <c r="J7" s="2" t="s">
        <v>156</v>
      </c>
      <c r="K7" s="2">
        <v>3</v>
      </c>
    </row>
    <row r="8" spans="1:11" s="2" customFormat="1">
      <c r="A8" s="2" t="s">
        <v>157</v>
      </c>
      <c r="B8" s="2" t="s">
        <v>157</v>
      </c>
      <c r="C8" s="2" t="s">
        <v>158</v>
      </c>
      <c r="D8" s="2" t="s">
        <v>209</v>
      </c>
      <c r="E8" s="2" t="s">
        <v>80</v>
      </c>
      <c r="F8" s="2" t="s">
        <v>100</v>
      </c>
      <c r="G8" s="2">
        <v>4.0200465715313501E-2</v>
      </c>
      <c r="H8" s="2">
        <v>0.192310335989473</v>
      </c>
      <c r="I8" s="2">
        <v>0.15782828644988001</v>
      </c>
      <c r="J8" s="2" t="s">
        <v>159</v>
      </c>
      <c r="K8" s="2">
        <v>4</v>
      </c>
    </row>
    <row r="9" spans="1:11">
      <c r="A9" t="s">
        <v>143</v>
      </c>
      <c r="B9" t="s">
        <v>143</v>
      </c>
      <c r="C9" t="s">
        <v>144</v>
      </c>
      <c r="D9" t="s">
        <v>205</v>
      </c>
      <c r="E9" t="s">
        <v>59</v>
      </c>
      <c r="F9" t="s">
        <v>145</v>
      </c>
      <c r="G9">
        <v>3.4413577432417401E-2</v>
      </c>
      <c r="H9">
        <v>0.17923824003459099</v>
      </c>
      <c r="I9">
        <v>0.14710007210689</v>
      </c>
      <c r="J9" t="s">
        <v>146</v>
      </c>
      <c r="K9">
        <v>5</v>
      </c>
    </row>
    <row r="10" spans="1:11">
      <c r="A10" t="s">
        <v>9</v>
      </c>
      <c r="B10" t="s">
        <v>9</v>
      </c>
      <c r="C10" t="s">
        <v>10</v>
      </c>
      <c r="D10" t="s">
        <v>11</v>
      </c>
      <c r="E10" t="s">
        <v>12</v>
      </c>
      <c r="F10" s="1">
        <v>8.11612167671054E-9</v>
      </c>
      <c r="G10" s="1">
        <v>1.43655353677776E-6</v>
      </c>
      <c r="H10" s="1">
        <v>1.1789734646169E-6</v>
      </c>
      <c r="I10" t="s">
        <v>13</v>
      </c>
      <c r="J10">
        <v>8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topLeftCell="A30" zoomScale="250" workbookViewId="0">
      <selection activeCell="A34" sqref="A34:XFD34"/>
    </sheetView>
  </sheetViews>
  <sheetFormatPr baseColWidth="10" defaultRowHeight="16"/>
  <cols>
    <col min="4" max="4" width="40.6640625" customWidth="1"/>
  </cols>
  <sheetData>
    <row r="1" spans="1:11">
      <c r="B1" t="s">
        <v>0</v>
      </c>
      <c r="C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>
      <c r="A2" t="s">
        <v>9</v>
      </c>
      <c r="B2" t="s">
        <v>9</v>
      </c>
      <c r="C2" t="s">
        <v>10</v>
      </c>
      <c r="D2" t="s">
        <v>173</v>
      </c>
      <c r="E2" t="s">
        <v>11</v>
      </c>
      <c r="F2" t="s">
        <v>12</v>
      </c>
      <c r="G2" s="1">
        <v>8.11612167671054E-9</v>
      </c>
      <c r="H2" s="1">
        <v>1.43655353677776E-6</v>
      </c>
      <c r="I2" s="1">
        <v>1.1789734646169E-6</v>
      </c>
      <c r="J2" t="s">
        <v>13</v>
      </c>
      <c r="K2">
        <v>8</v>
      </c>
    </row>
    <row r="3" spans="1:11">
      <c r="A3" t="s">
        <v>14</v>
      </c>
      <c r="B3" t="s">
        <v>14</v>
      </c>
      <c r="C3" t="s">
        <v>15</v>
      </c>
      <c r="D3" t="s">
        <v>174</v>
      </c>
      <c r="E3" t="s">
        <v>16</v>
      </c>
      <c r="F3" t="s">
        <v>17</v>
      </c>
      <c r="G3" s="1">
        <v>2.3555259966092601E-8</v>
      </c>
      <c r="H3" s="1">
        <v>2.0846405069992E-6</v>
      </c>
      <c r="I3" s="1">
        <v>1.7108557238530399E-6</v>
      </c>
      <c r="J3" t="s">
        <v>18</v>
      </c>
      <c r="K3">
        <v>15</v>
      </c>
    </row>
    <row r="4" spans="1:11">
      <c r="A4" t="s">
        <v>19</v>
      </c>
      <c r="B4" t="s">
        <v>19</v>
      </c>
      <c r="C4" t="s">
        <v>20</v>
      </c>
      <c r="D4" t="s">
        <v>175</v>
      </c>
      <c r="E4" t="s">
        <v>16</v>
      </c>
      <c r="F4" t="s">
        <v>21</v>
      </c>
      <c r="G4" s="1">
        <v>1.3992641684392299E-6</v>
      </c>
      <c r="H4" s="1">
        <v>8.2556585937914494E-5</v>
      </c>
      <c r="I4" s="1">
        <v>6.7753843945478402E-5</v>
      </c>
      <c r="J4" t="s">
        <v>22</v>
      </c>
      <c r="K4">
        <v>15</v>
      </c>
    </row>
    <row r="5" spans="1:11">
      <c r="A5" t="s">
        <v>23</v>
      </c>
      <c r="B5" t="s">
        <v>23</v>
      </c>
      <c r="C5" t="s">
        <v>24</v>
      </c>
      <c r="D5" t="s">
        <v>176</v>
      </c>
      <c r="E5" t="s">
        <v>25</v>
      </c>
      <c r="F5" t="s">
        <v>26</v>
      </c>
      <c r="G5" s="1">
        <v>9.3110146847142696E-6</v>
      </c>
      <c r="H5">
        <v>4.1201239979860602E-4</v>
      </c>
      <c r="I5">
        <v>3.3813684907646599E-4</v>
      </c>
      <c r="J5" t="s">
        <v>27</v>
      </c>
      <c r="K5">
        <v>12</v>
      </c>
    </row>
    <row r="6" spans="1:11">
      <c r="A6" t="s">
        <v>28</v>
      </c>
      <c r="B6" t="s">
        <v>28</v>
      </c>
      <c r="C6" t="s">
        <v>29</v>
      </c>
      <c r="D6" t="s">
        <v>177</v>
      </c>
      <c r="E6" t="s">
        <v>30</v>
      </c>
      <c r="F6" t="s">
        <v>31</v>
      </c>
      <c r="G6" s="1">
        <v>2.7377482428022802E-5</v>
      </c>
      <c r="H6">
        <v>8.4540604210349402E-4</v>
      </c>
      <c r="I6">
        <v>6.9382119423301895E-4</v>
      </c>
      <c r="J6" t="s">
        <v>32</v>
      </c>
      <c r="K6">
        <v>9</v>
      </c>
    </row>
    <row r="7" spans="1:11">
      <c r="A7" t="s">
        <v>33</v>
      </c>
      <c r="B7" t="s">
        <v>33</v>
      </c>
      <c r="C7" t="s">
        <v>34</v>
      </c>
      <c r="D7" t="s">
        <v>178</v>
      </c>
      <c r="E7" t="s">
        <v>25</v>
      </c>
      <c r="F7" t="s">
        <v>35</v>
      </c>
      <c r="G7" s="1">
        <v>2.86578319357117E-5</v>
      </c>
      <c r="H7">
        <v>8.4540604210349402E-4</v>
      </c>
      <c r="I7">
        <v>6.9382119423301895E-4</v>
      </c>
      <c r="J7" t="s">
        <v>27</v>
      </c>
      <c r="K7">
        <v>12</v>
      </c>
    </row>
    <row r="8" spans="1:11">
      <c r="A8" t="s">
        <v>36</v>
      </c>
      <c r="B8" t="s">
        <v>36</v>
      </c>
      <c r="C8" t="s">
        <v>37</v>
      </c>
      <c r="D8" t="s">
        <v>179</v>
      </c>
      <c r="E8" t="s">
        <v>16</v>
      </c>
      <c r="F8" t="s">
        <v>38</v>
      </c>
      <c r="G8" s="1">
        <v>3.4167617928899401E-5</v>
      </c>
      <c r="H8">
        <v>8.6395262477359904E-4</v>
      </c>
      <c r="I8">
        <v>7.0904229687039297E-4</v>
      </c>
      <c r="J8" t="s">
        <v>18</v>
      </c>
      <c r="K8">
        <v>15</v>
      </c>
    </row>
    <row r="9" spans="1:11">
      <c r="A9" t="s">
        <v>39</v>
      </c>
      <c r="B9" t="s">
        <v>39</v>
      </c>
      <c r="C9" t="s">
        <v>40</v>
      </c>
      <c r="D9" t="s">
        <v>180</v>
      </c>
      <c r="E9" t="s">
        <v>41</v>
      </c>
      <c r="F9" t="s">
        <v>42</v>
      </c>
      <c r="G9" s="1">
        <v>6.1148913232117401E-5</v>
      </c>
      <c r="H9">
        <v>1.3529197052606001E-3</v>
      </c>
      <c r="I9">
        <v>1.11033552974108E-3</v>
      </c>
      <c r="J9" t="s">
        <v>43</v>
      </c>
      <c r="K9">
        <v>13</v>
      </c>
    </row>
    <row r="10" spans="1:11" s="2" customFormat="1">
      <c r="A10" s="2" t="s">
        <v>44</v>
      </c>
      <c r="B10" s="2" t="s">
        <v>44</v>
      </c>
      <c r="C10" s="2" t="s">
        <v>45</v>
      </c>
      <c r="D10" s="2" t="s">
        <v>181</v>
      </c>
      <c r="E10" s="2" t="s">
        <v>11</v>
      </c>
      <c r="F10" s="2" t="s">
        <v>46</v>
      </c>
      <c r="G10" s="2">
        <v>1.12513386248389E-4</v>
      </c>
      <c r="H10" s="2">
        <v>2.2127632628849898E-3</v>
      </c>
      <c r="I10" s="2">
        <v>1.81600553243014E-3</v>
      </c>
      <c r="J10" s="2" t="s">
        <v>47</v>
      </c>
      <c r="K10" s="2">
        <v>8</v>
      </c>
    </row>
    <row r="11" spans="1:11">
      <c r="A11" t="s">
        <v>48</v>
      </c>
      <c r="B11" t="s">
        <v>48</v>
      </c>
      <c r="C11" t="s">
        <v>49</v>
      </c>
      <c r="D11" t="s">
        <v>182</v>
      </c>
      <c r="E11" t="s">
        <v>11</v>
      </c>
      <c r="F11" t="s">
        <v>50</v>
      </c>
      <c r="G11">
        <v>5.9329321695312403E-4</v>
      </c>
      <c r="H11">
        <v>1.05012899400703E-2</v>
      </c>
      <c r="I11">
        <v>8.6183646252138008E-3</v>
      </c>
      <c r="J11" t="s">
        <v>51</v>
      </c>
      <c r="K11">
        <v>8</v>
      </c>
    </row>
    <row r="12" spans="1:11">
      <c r="A12" t="s">
        <v>52</v>
      </c>
      <c r="B12" t="s">
        <v>52</v>
      </c>
      <c r="C12" t="s">
        <v>53</v>
      </c>
      <c r="D12" t="s">
        <v>183</v>
      </c>
      <c r="E12" t="s">
        <v>54</v>
      </c>
      <c r="F12" t="s">
        <v>55</v>
      </c>
      <c r="G12">
        <v>7.3136930496632796E-4</v>
      </c>
      <c r="H12">
        <v>1.15987508291638E-2</v>
      </c>
      <c r="I12">
        <v>9.5190461755848901E-3</v>
      </c>
      <c r="J12" t="s">
        <v>56</v>
      </c>
      <c r="K12">
        <v>6</v>
      </c>
    </row>
    <row r="13" spans="1:11">
      <c r="A13" t="s">
        <v>57</v>
      </c>
      <c r="B13" t="s">
        <v>57</v>
      </c>
      <c r="C13" t="s">
        <v>58</v>
      </c>
      <c r="D13" t="s">
        <v>184</v>
      </c>
      <c r="E13" t="s">
        <v>59</v>
      </c>
      <c r="F13" t="s">
        <v>60</v>
      </c>
      <c r="G13">
        <v>7.8635598841788202E-4</v>
      </c>
      <c r="H13">
        <v>1.15987508291638E-2</v>
      </c>
      <c r="I13">
        <v>9.5190461755848901E-3</v>
      </c>
      <c r="J13" t="s">
        <v>61</v>
      </c>
      <c r="K13">
        <v>5</v>
      </c>
    </row>
    <row r="14" spans="1:11" s="2" customFormat="1">
      <c r="A14" s="2" t="s">
        <v>62</v>
      </c>
      <c r="B14" s="2" t="s">
        <v>62</v>
      </c>
      <c r="C14" s="2" t="s">
        <v>63</v>
      </c>
      <c r="D14" s="2" t="s">
        <v>185</v>
      </c>
      <c r="E14" s="2" t="s">
        <v>64</v>
      </c>
      <c r="F14" s="2" t="s">
        <v>65</v>
      </c>
      <c r="G14" s="2">
        <v>1.09731344997777E-3</v>
      </c>
      <c r="H14" s="2">
        <v>1.4940344665081999E-2</v>
      </c>
      <c r="I14" s="2">
        <v>1.22614782264723E-2</v>
      </c>
      <c r="J14" s="2" t="s">
        <v>66</v>
      </c>
      <c r="K14" s="2">
        <v>7</v>
      </c>
    </row>
    <row r="15" spans="1:11">
      <c r="A15" t="s">
        <v>67</v>
      </c>
      <c r="B15" t="s">
        <v>67</v>
      </c>
      <c r="C15" t="s">
        <v>68</v>
      </c>
      <c r="D15" t="s">
        <v>186</v>
      </c>
      <c r="E15" t="s">
        <v>54</v>
      </c>
      <c r="F15" t="s">
        <v>69</v>
      </c>
      <c r="G15">
        <v>2.2331107903523799E-3</v>
      </c>
      <c r="H15">
        <v>2.5679124210170299E-2</v>
      </c>
      <c r="I15">
        <v>2.10747495748052E-2</v>
      </c>
      <c r="J15" t="s">
        <v>70</v>
      </c>
      <c r="K15">
        <v>6</v>
      </c>
    </row>
    <row r="16" spans="1:11" s="2" customFormat="1">
      <c r="A16" s="2" t="s">
        <v>71</v>
      </c>
      <c r="B16" s="2" t="s">
        <v>71</v>
      </c>
      <c r="C16" s="2" t="s">
        <v>72</v>
      </c>
      <c r="D16" s="2" t="s">
        <v>187</v>
      </c>
      <c r="E16" s="2" t="s">
        <v>59</v>
      </c>
      <c r="F16" s="2" t="s">
        <v>73</v>
      </c>
      <c r="G16" s="2">
        <v>2.2868927049378399E-3</v>
      </c>
      <c r="H16" s="2">
        <v>2.5679124210170299E-2</v>
      </c>
      <c r="I16" s="2">
        <v>2.10747495748052E-2</v>
      </c>
      <c r="J16" s="2" t="s">
        <v>74</v>
      </c>
      <c r="K16" s="2">
        <v>5</v>
      </c>
    </row>
    <row r="17" spans="1:11">
      <c r="A17" t="s">
        <v>75</v>
      </c>
      <c r="B17" t="s">
        <v>75</v>
      </c>
      <c r="C17" t="s">
        <v>76</v>
      </c>
      <c r="D17" t="s">
        <v>188</v>
      </c>
      <c r="E17" t="s">
        <v>11</v>
      </c>
      <c r="F17" t="s">
        <v>77</v>
      </c>
      <c r="G17">
        <v>2.3212767647611599E-3</v>
      </c>
      <c r="H17">
        <v>2.5679124210170299E-2</v>
      </c>
      <c r="I17">
        <v>2.10747495748052E-2</v>
      </c>
      <c r="J17" t="s">
        <v>51</v>
      </c>
      <c r="K17">
        <v>8</v>
      </c>
    </row>
    <row r="18" spans="1:11">
      <c r="A18" t="s">
        <v>78</v>
      </c>
      <c r="B18" t="s">
        <v>78</v>
      </c>
      <c r="C18" t="s">
        <v>79</v>
      </c>
      <c r="D18" t="s">
        <v>189</v>
      </c>
      <c r="E18" t="s">
        <v>80</v>
      </c>
      <c r="F18" t="s">
        <v>81</v>
      </c>
      <c r="G18">
        <v>3.49796948055276E-3</v>
      </c>
      <c r="H18">
        <v>3.6420035179872898E-2</v>
      </c>
      <c r="I18">
        <v>2.9889770174382699E-2</v>
      </c>
      <c r="J18" t="s">
        <v>82</v>
      </c>
      <c r="K18">
        <v>4</v>
      </c>
    </row>
    <row r="19" spans="1:11" s="2" customFormat="1">
      <c r="A19" s="2" t="s">
        <v>83</v>
      </c>
      <c r="B19" s="2" t="s">
        <v>83</v>
      </c>
      <c r="C19" s="2" t="s">
        <v>84</v>
      </c>
      <c r="D19" s="2" t="s">
        <v>190</v>
      </c>
      <c r="E19" s="2" t="s">
        <v>64</v>
      </c>
      <c r="F19" s="2" t="s">
        <v>85</v>
      </c>
      <c r="G19" s="2">
        <v>5.8850327463971699E-3</v>
      </c>
      <c r="H19" s="2">
        <v>5.7869488672905499E-2</v>
      </c>
      <c r="I19" s="2">
        <v>4.7493246725310502E-2</v>
      </c>
      <c r="J19" s="2" t="s">
        <v>86</v>
      </c>
      <c r="K19" s="2">
        <v>7</v>
      </c>
    </row>
    <row r="20" spans="1:11">
      <c r="A20" t="s">
        <v>87</v>
      </c>
      <c r="B20" t="s">
        <v>87</v>
      </c>
      <c r="C20" t="s">
        <v>88</v>
      </c>
      <c r="D20" t="s">
        <v>191</v>
      </c>
      <c r="E20" t="s">
        <v>64</v>
      </c>
      <c r="F20" t="s">
        <v>89</v>
      </c>
      <c r="G20">
        <v>6.7451614035199904E-3</v>
      </c>
      <c r="H20">
        <v>6.0892057656839499E-2</v>
      </c>
      <c r="I20">
        <v>4.9973856417745099E-2</v>
      </c>
      <c r="J20" t="s">
        <v>66</v>
      </c>
      <c r="K20">
        <v>7</v>
      </c>
    </row>
    <row r="21" spans="1:11" s="2" customFormat="1">
      <c r="A21" s="2" t="s">
        <v>90</v>
      </c>
      <c r="B21" s="2" t="s">
        <v>90</v>
      </c>
      <c r="C21" s="2" t="s">
        <v>91</v>
      </c>
      <c r="D21" s="2" t="s">
        <v>192</v>
      </c>
      <c r="E21" s="2" t="s">
        <v>80</v>
      </c>
      <c r="F21" s="2" t="s">
        <v>92</v>
      </c>
      <c r="G21" s="2">
        <v>6.8804584922982403E-3</v>
      </c>
      <c r="H21" s="2">
        <v>6.0892057656839499E-2</v>
      </c>
      <c r="I21" s="2">
        <v>4.9973856417745099E-2</v>
      </c>
      <c r="J21" s="2" t="s">
        <v>93</v>
      </c>
      <c r="K21" s="2">
        <v>4</v>
      </c>
    </row>
    <row r="22" spans="1:11" s="2" customFormat="1">
      <c r="A22" s="2" t="s">
        <v>94</v>
      </c>
      <c r="B22" s="2" t="s">
        <v>94</v>
      </c>
      <c r="C22" s="2" t="s">
        <v>95</v>
      </c>
      <c r="D22" s="2" t="s">
        <v>193</v>
      </c>
      <c r="E22" s="2" t="s">
        <v>59</v>
      </c>
      <c r="F22" s="2" t="s">
        <v>96</v>
      </c>
      <c r="G22" s="2">
        <v>8.8047640057179206E-3</v>
      </c>
      <c r="H22" s="2">
        <v>7.4211582333908094E-2</v>
      </c>
      <c r="I22" s="2">
        <v>6.0905134475642698E-2</v>
      </c>
      <c r="J22" s="2" t="s">
        <v>97</v>
      </c>
      <c r="K22" s="2">
        <v>5</v>
      </c>
    </row>
    <row r="23" spans="1:11">
      <c r="A23" t="s">
        <v>98</v>
      </c>
      <c r="B23" t="s">
        <v>98</v>
      </c>
      <c r="C23" t="s">
        <v>99</v>
      </c>
      <c r="D23" t="s">
        <v>194</v>
      </c>
      <c r="E23" t="s">
        <v>59</v>
      </c>
      <c r="F23" t="s">
        <v>100</v>
      </c>
      <c r="G23">
        <v>9.3459941924835203E-3</v>
      </c>
      <c r="H23">
        <v>7.5192771457708293E-2</v>
      </c>
      <c r="I23">
        <v>6.1710392275728498E-2</v>
      </c>
      <c r="J23" t="s">
        <v>61</v>
      </c>
      <c r="K23">
        <v>5</v>
      </c>
    </row>
    <row r="24" spans="1:11">
      <c r="A24" t="s">
        <v>101</v>
      </c>
      <c r="B24" t="s">
        <v>101</v>
      </c>
      <c r="C24" t="s">
        <v>102</v>
      </c>
      <c r="D24" t="s">
        <v>195</v>
      </c>
      <c r="E24" t="s">
        <v>54</v>
      </c>
      <c r="F24" t="s">
        <v>103</v>
      </c>
      <c r="G24">
        <v>1.0198131618148001E-2</v>
      </c>
      <c r="H24">
        <v>7.8481273757052106E-2</v>
      </c>
      <c r="I24">
        <v>6.4409252325145397E-2</v>
      </c>
      <c r="J24" t="s">
        <v>104</v>
      </c>
      <c r="K24">
        <v>6</v>
      </c>
    </row>
    <row r="25" spans="1:11">
      <c r="A25" t="s">
        <v>105</v>
      </c>
      <c r="B25" t="s">
        <v>105</v>
      </c>
      <c r="C25" t="s">
        <v>106</v>
      </c>
      <c r="D25" t="s">
        <v>196</v>
      </c>
      <c r="E25" t="s">
        <v>80</v>
      </c>
      <c r="F25" t="s">
        <v>107</v>
      </c>
      <c r="G25">
        <v>1.7790384503125201E-2</v>
      </c>
      <c r="H25">
        <v>0.13120408571054801</v>
      </c>
      <c r="I25">
        <v>0.107678643045231</v>
      </c>
      <c r="J25" t="s">
        <v>108</v>
      </c>
      <c r="K25">
        <v>4</v>
      </c>
    </row>
    <row r="26" spans="1:11">
      <c r="A26" t="s">
        <v>109</v>
      </c>
      <c r="B26" t="s">
        <v>109</v>
      </c>
      <c r="C26" t="s">
        <v>110</v>
      </c>
      <c r="D26" t="s">
        <v>197</v>
      </c>
      <c r="E26" t="s">
        <v>59</v>
      </c>
      <c r="F26" t="s">
        <v>111</v>
      </c>
      <c r="G26">
        <v>2.2837999201636899E-2</v>
      </c>
      <c r="H26">
        <v>0.161693034347589</v>
      </c>
      <c r="I26">
        <v>0.13270079536109</v>
      </c>
      <c r="J26" t="s">
        <v>112</v>
      </c>
      <c r="K26">
        <v>5</v>
      </c>
    </row>
    <row r="27" spans="1:11">
      <c r="A27" t="s">
        <v>113</v>
      </c>
      <c r="B27" t="s">
        <v>113</v>
      </c>
      <c r="C27" t="s">
        <v>114</v>
      </c>
      <c r="D27" t="s">
        <v>198</v>
      </c>
      <c r="E27" t="s">
        <v>115</v>
      </c>
      <c r="F27" t="s">
        <v>116</v>
      </c>
      <c r="G27">
        <v>2.7653105271951101E-2</v>
      </c>
      <c r="H27">
        <v>0.17923824003459099</v>
      </c>
      <c r="I27">
        <v>0.14710007210689</v>
      </c>
      <c r="J27" t="s">
        <v>117</v>
      </c>
      <c r="K27">
        <v>3</v>
      </c>
    </row>
    <row r="28" spans="1:11">
      <c r="A28" t="s">
        <v>118</v>
      </c>
      <c r="B28" t="s">
        <v>118</v>
      </c>
      <c r="C28" t="s">
        <v>119</v>
      </c>
      <c r="D28" t="s">
        <v>199</v>
      </c>
      <c r="E28" t="s">
        <v>59</v>
      </c>
      <c r="F28" t="s">
        <v>120</v>
      </c>
      <c r="G28">
        <v>2.7673147515248499E-2</v>
      </c>
      <c r="H28">
        <v>0.17923824003459099</v>
      </c>
      <c r="I28">
        <v>0.14710007210689</v>
      </c>
      <c r="J28" t="s">
        <v>121</v>
      </c>
      <c r="K28">
        <v>5</v>
      </c>
    </row>
    <row r="29" spans="1:11" ht="22" customHeight="1">
      <c r="A29" t="s">
        <v>122</v>
      </c>
      <c r="B29" t="s">
        <v>122</v>
      </c>
      <c r="C29" t="s">
        <v>123</v>
      </c>
      <c r="D29" t="s">
        <v>200</v>
      </c>
      <c r="E29" t="s">
        <v>115</v>
      </c>
      <c r="F29" t="s">
        <v>124</v>
      </c>
      <c r="G29">
        <v>2.8682903438892599E-2</v>
      </c>
      <c r="H29">
        <v>0.17923824003459099</v>
      </c>
      <c r="I29">
        <v>0.14710007210689</v>
      </c>
      <c r="J29" t="s">
        <v>125</v>
      </c>
      <c r="K29">
        <v>3</v>
      </c>
    </row>
    <row r="30" spans="1:11">
      <c r="A30" t="s">
        <v>126</v>
      </c>
      <c r="B30" t="s">
        <v>126</v>
      </c>
      <c r="C30" t="s">
        <v>127</v>
      </c>
      <c r="D30" t="s">
        <v>201</v>
      </c>
      <c r="E30" t="s">
        <v>54</v>
      </c>
      <c r="F30" t="s">
        <v>128</v>
      </c>
      <c r="G30">
        <v>2.9383698310784401E-2</v>
      </c>
      <c r="H30">
        <v>0.17923824003459099</v>
      </c>
      <c r="I30">
        <v>0.14710007210689</v>
      </c>
      <c r="J30" t="s">
        <v>129</v>
      </c>
      <c r="K30">
        <v>6</v>
      </c>
    </row>
    <row r="31" spans="1:11">
      <c r="A31" t="s">
        <v>130</v>
      </c>
      <c r="B31" t="s">
        <v>130</v>
      </c>
      <c r="C31" t="s">
        <v>131</v>
      </c>
      <c r="D31" t="s">
        <v>202</v>
      </c>
      <c r="E31" t="s">
        <v>132</v>
      </c>
      <c r="F31" t="s">
        <v>133</v>
      </c>
      <c r="G31">
        <v>3.18166142134498E-2</v>
      </c>
      <c r="H31">
        <v>0.17923824003459099</v>
      </c>
      <c r="I31">
        <v>0.14710007210689</v>
      </c>
      <c r="J31" t="s">
        <v>134</v>
      </c>
      <c r="K31">
        <v>2</v>
      </c>
    </row>
    <row r="32" spans="1:11">
      <c r="A32" t="s">
        <v>135</v>
      </c>
      <c r="B32" t="s">
        <v>135</v>
      </c>
      <c r="C32" t="s">
        <v>136</v>
      </c>
      <c r="D32" t="s">
        <v>203</v>
      </c>
      <c r="E32" t="s">
        <v>115</v>
      </c>
      <c r="F32" t="s">
        <v>137</v>
      </c>
      <c r="G32">
        <v>3.3003880930754202E-2</v>
      </c>
      <c r="H32">
        <v>0.17923824003459099</v>
      </c>
      <c r="I32">
        <v>0.14710007210689</v>
      </c>
      <c r="J32" t="s">
        <v>138</v>
      </c>
      <c r="K32">
        <v>3</v>
      </c>
    </row>
    <row r="33" spans="1:11">
      <c r="A33" t="s">
        <v>139</v>
      </c>
      <c r="B33" t="s">
        <v>139</v>
      </c>
      <c r="C33" t="s">
        <v>140</v>
      </c>
      <c r="D33" t="s">
        <v>204</v>
      </c>
      <c r="E33" t="s">
        <v>115</v>
      </c>
      <c r="F33" t="s">
        <v>141</v>
      </c>
      <c r="G33">
        <v>3.4134359477191602E-2</v>
      </c>
      <c r="H33">
        <v>0.17923824003459099</v>
      </c>
      <c r="I33">
        <v>0.14710007210689</v>
      </c>
      <c r="J33" t="s">
        <v>142</v>
      </c>
      <c r="K33">
        <v>3</v>
      </c>
    </row>
    <row r="34" spans="1:11">
      <c r="A34" t="s">
        <v>143</v>
      </c>
      <c r="B34" t="s">
        <v>143</v>
      </c>
      <c r="C34" t="s">
        <v>144</v>
      </c>
      <c r="D34" t="s">
        <v>205</v>
      </c>
      <c r="E34" t="s">
        <v>59</v>
      </c>
      <c r="F34" t="s">
        <v>145</v>
      </c>
      <c r="G34">
        <v>3.4413577432417401E-2</v>
      </c>
      <c r="H34">
        <v>0.17923824003459099</v>
      </c>
      <c r="I34">
        <v>0.14710007210689</v>
      </c>
      <c r="J34" t="s">
        <v>146</v>
      </c>
      <c r="K34">
        <v>5</v>
      </c>
    </row>
    <row r="35" spans="1:11">
      <c r="A35" t="s">
        <v>147</v>
      </c>
      <c r="B35" t="s">
        <v>147</v>
      </c>
      <c r="C35" t="s">
        <v>148</v>
      </c>
      <c r="D35" t="s">
        <v>206</v>
      </c>
      <c r="E35" t="s">
        <v>132</v>
      </c>
      <c r="F35" t="s">
        <v>149</v>
      </c>
      <c r="G35">
        <v>3.5846452693196099E-2</v>
      </c>
      <c r="H35">
        <v>0.17923824003459099</v>
      </c>
      <c r="I35">
        <v>0.14710007210689</v>
      </c>
      <c r="J35" t="s">
        <v>150</v>
      </c>
      <c r="K35">
        <v>2</v>
      </c>
    </row>
    <row r="36" spans="1:11">
      <c r="A36" t="s">
        <v>151</v>
      </c>
      <c r="B36" t="s">
        <v>151</v>
      </c>
      <c r="C36" t="s">
        <v>152</v>
      </c>
      <c r="D36" t="s">
        <v>207</v>
      </c>
      <c r="E36" t="s">
        <v>132</v>
      </c>
      <c r="F36" t="s">
        <v>149</v>
      </c>
      <c r="G36">
        <v>3.5846452693196099E-2</v>
      </c>
      <c r="H36">
        <v>0.17923824003459099</v>
      </c>
      <c r="I36">
        <v>0.14710007210689</v>
      </c>
      <c r="J36" t="s">
        <v>153</v>
      </c>
      <c r="K36">
        <v>2</v>
      </c>
    </row>
    <row r="37" spans="1:11" s="2" customFormat="1">
      <c r="A37" s="2" t="s">
        <v>154</v>
      </c>
      <c r="B37" s="2" t="s">
        <v>154</v>
      </c>
      <c r="C37" s="2" t="s">
        <v>155</v>
      </c>
      <c r="D37" s="2" t="s">
        <v>208</v>
      </c>
      <c r="E37" s="2" t="s">
        <v>115</v>
      </c>
      <c r="F37" s="2" t="s">
        <v>60</v>
      </c>
      <c r="G37" s="2">
        <v>3.64552352612727E-2</v>
      </c>
      <c r="H37" s="2">
        <v>0.17923824003459099</v>
      </c>
      <c r="I37" s="2">
        <v>0.14710007210689</v>
      </c>
      <c r="J37" s="2" t="s">
        <v>156</v>
      </c>
      <c r="K37" s="2">
        <v>3</v>
      </c>
    </row>
    <row r="38" spans="1:11" s="2" customFormat="1">
      <c r="A38" s="2" t="s">
        <v>157</v>
      </c>
      <c r="B38" s="2" t="s">
        <v>157</v>
      </c>
      <c r="C38" s="2" t="s">
        <v>158</v>
      </c>
      <c r="D38" s="2" t="s">
        <v>209</v>
      </c>
      <c r="E38" s="2" t="s">
        <v>80</v>
      </c>
      <c r="F38" s="2" t="s">
        <v>100</v>
      </c>
      <c r="G38" s="2">
        <v>4.0200465715313501E-2</v>
      </c>
      <c r="H38" s="2">
        <v>0.192310335989473</v>
      </c>
      <c r="I38" s="2">
        <v>0.15782828644988001</v>
      </c>
      <c r="J38" s="2" t="s">
        <v>159</v>
      </c>
      <c r="K38" s="2">
        <v>4</v>
      </c>
    </row>
    <row r="39" spans="1:11">
      <c r="A39" t="s">
        <v>160</v>
      </c>
      <c r="B39" t="s">
        <v>160</v>
      </c>
      <c r="C39" t="s">
        <v>161</v>
      </c>
      <c r="D39" t="s">
        <v>210</v>
      </c>
      <c r="E39" t="s">
        <v>59</v>
      </c>
      <c r="F39" t="s">
        <v>162</v>
      </c>
      <c r="G39">
        <v>4.2844337792172199E-2</v>
      </c>
      <c r="H39">
        <v>0.19956441550564399</v>
      </c>
      <c r="I39">
        <v>0.16378167909472999</v>
      </c>
      <c r="J39" t="s">
        <v>163</v>
      </c>
      <c r="K39">
        <v>5</v>
      </c>
    </row>
    <row r="40" spans="1:11">
      <c r="A40" t="s">
        <v>164</v>
      </c>
      <c r="B40" t="s">
        <v>164</v>
      </c>
      <c r="C40" t="s">
        <v>165</v>
      </c>
      <c r="D40" t="s">
        <v>211</v>
      </c>
      <c r="E40" t="s">
        <v>115</v>
      </c>
      <c r="F40" t="s">
        <v>166</v>
      </c>
      <c r="G40">
        <v>4.5200424615714697E-2</v>
      </c>
      <c r="H40">
        <v>0.20514038864055101</v>
      </c>
      <c r="I40">
        <v>0.168357856868249</v>
      </c>
      <c r="J40" t="s">
        <v>167</v>
      </c>
      <c r="K40">
        <v>3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在高表达组上调-KEGG</vt:lpstr>
      <vt:lpstr>Sheet1</vt:lpstr>
      <vt:lpstr>Sheet3</vt:lpstr>
      <vt:lpstr>在高表达组上调-KEGG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inspir19@163.com</dc:creator>
  <cp:lastModifiedBy>inspir19@163.com</cp:lastModifiedBy>
  <dcterms:created xsi:type="dcterms:W3CDTF">2025-02-13T14:51:33Z</dcterms:created>
  <dcterms:modified xsi:type="dcterms:W3CDTF">2025-02-13T15:04:06Z</dcterms:modified>
</cp:coreProperties>
</file>