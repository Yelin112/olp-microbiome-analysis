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ggyxu/Desktop/🍩毕业论文20240129/🍩图和数据/单细胞/20250127 结果反馈/exp/CA/enrichment/新的/"/>
    </mc:Choice>
  </mc:AlternateContent>
  <xr:revisionPtr revIDLastSave="0" documentId="13_ncr:1_{679BD6EA-BBEF-1344-9514-AF3701A6B0D0}" xr6:coauthVersionLast="47" xr6:coauthVersionMax="47" xr10:uidLastSave="{00000000-0000-0000-0000-000000000000}"/>
  <bookViews>
    <workbookView xWindow="13260" yWindow="1940" windowWidth="27040" windowHeight="14640" xr2:uid="{3A62939B-CA23-9243-A419-7FB734AB3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<sst xmlns="http://schemas.openxmlformats.org/spreadsheetml/2006/main" count="25" uniqueCount="25">
  <si>
    <t>Term_ID</t>
  </si>
  <si>
    <t>Term_description</t>
  </si>
  <si>
    <t>ListHit</t>
  </si>
  <si>
    <t>FoldEnrichment</t>
  </si>
  <si>
    <t>p-value</t>
    <phoneticPr fontId="1" type="noConversion"/>
  </si>
  <si>
    <t>GO:0050900</t>
  </si>
  <si>
    <t>leukocyte migration</t>
  </si>
  <si>
    <t>GO:0006959</t>
  </si>
  <si>
    <t>humoral immune response</t>
  </si>
  <si>
    <t>GO:0019221</t>
  </si>
  <si>
    <t>cytokine-mediated signaling pathway</t>
  </si>
  <si>
    <t>GO:0030595</t>
  </si>
  <si>
    <t>leukocyte chemotaxis</t>
  </si>
  <si>
    <t>GO:0071621</t>
  </si>
  <si>
    <t>granulocyte chemotaxis</t>
  </si>
  <si>
    <t>GO:0030593</t>
  </si>
  <si>
    <t>neutrophil chemotaxis</t>
  </si>
  <si>
    <t>GO:0070098</t>
  </si>
  <si>
    <t>chemokine-mediated signaling pathway</t>
  </si>
  <si>
    <t>GO:0071347</t>
  </si>
  <si>
    <t>cellular response to interleukin-1</t>
  </si>
  <si>
    <t>GO:0051251</t>
  </si>
  <si>
    <t>positive regulation of lymphocyte activation</t>
  </si>
  <si>
    <t>GO:0002548</t>
  </si>
  <si>
    <t>monocyte chemotaxis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</si>
</sst>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3E4-846E-9D45-9990-379F6798CA7F}">
  <dimension ref="A1:E11"/>
  <sheetViews>
    <sheetView tabSelected="1" workbookViewId="0">
      <selection activeCell="E2" sqref="E2:E11"/>
    </sheetView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</v>
      </c>
      <c r="D2">
        <f>20/76</f>
        <v>0.26315789473684209</v>
      </c>
      <c r="E2" s="1">
        <v>6.7583852786095003E-17</v>
      </c>
    </row>
    <row r="3" spans="1:5">
      <c r="A3" t="s">
        <v>7</v>
      </c>
      <c r="B3" t="s">
        <v>8</v>
      </c>
      <c r="C3">
        <v>19</v>
      </c>
      <c r="D3">
        <f>19/76</f>
        <v>0.25</v>
      </c>
      <c r="E3" s="1">
        <v>2.0690474952608399E-17</v>
      </c>
    </row>
    <row r="4" spans="1:5">
      <c r="A4" t="s">
        <v>9</v>
      </c>
      <c r="B4" t="s">
        <v>10</v>
      </c>
      <c r="C4">
        <v>19</v>
      </c>
      <c r="D4">
        <f>19/76</f>
        <v>0.25</v>
      </c>
      <c r="E4" s="1">
        <v>6.2219735440332605E-14</v>
      </c>
    </row>
    <row r="5" spans="1:5">
      <c r="A5" t="s">
        <v>11</v>
      </c>
      <c r="B5" t="s">
        <v>12</v>
      </c>
      <c r="C5">
        <v>18</v>
      </c>
      <c r="D5">
        <f>18/76</f>
        <v>0.23684210526315788</v>
      </c>
      <c r="E5" s="1">
        <v>2.5210746542479801E-18</v>
      </c>
    </row>
    <row r="6" spans="1:5">
      <c r="A6" t="s">
        <v>13</v>
      </c>
      <c r="B6" t="s">
        <v>14</v>
      </c>
      <c r="C6">
        <v>17</v>
      </c>
      <c r="D6">
        <f>17/76</f>
        <v>0.22368421052631579</v>
      </c>
      <c r="E6" s="1">
        <v>1.5894640617081701E-21</v>
      </c>
    </row>
    <row r="7" spans="1:5">
      <c r="A7" t="s">
        <v>15</v>
      </c>
      <c r="B7" t="s">
        <v>16</v>
      </c>
      <c r="C7">
        <v>16</v>
      </c>
      <c r="D7">
        <f>16/76</f>
        <v>0.21052631578947367</v>
      </c>
      <c r="E7" s="1">
        <v>2.4154896248601101E-21</v>
      </c>
    </row>
    <row r="8" spans="1:5">
      <c r="A8" t="s">
        <v>17</v>
      </c>
      <c r="B8" t="s">
        <v>18</v>
      </c>
      <c r="C8">
        <v>11</v>
      </c>
      <c r="D8">
        <f>11/76</f>
        <v>0.14473684210526316</v>
      </c>
      <c r="E8" s="1">
        <v>6.7479593859370994E-14</v>
      </c>
    </row>
    <row r="9" spans="1:5">
      <c r="A9" t="s">
        <v>19</v>
      </c>
      <c r="B9" t="s">
        <v>20</v>
      </c>
      <c r="C9">
        <v>10</v>
      </c>
      <c r="D9">
        <f>10/76</f>
        <v>0.13157894736842105</v>
      </c>
      <c r="E9" s="1">
        <v>2.22718897243213E-11</v>
      </c>
    </row>
    <row r="10" spans="1:5">
      <c r="A10" t="s">
        <v>21</v>
      </c>
      <c r="B10" t="s">
        <v>22</v>
      </c>
      <c r="C10">
        <v>10</v>
      </c>
      <c r="D10">
        <f>10/76</f>
        <v>0.13157894736842105</v>
      </c>
      <c r="E10" s="1">
        <v>4.4260649188921102E-6</v>
      </c>
    </row>
    <row r="11" spans="1:5">
      <c r="A11" t="s">
        <v>23</v>
      </c>
      <c r="B11" t="s">
        <v>24</v>
      </c>
      <c r="C11">
        <v>7</v>
      </c>
      <c r="D11">
        <f>7/76</f>
        <v>9.2105263157894732E-2</v>
      </c>
      <c r="E11" s="1">
        <v>1.3860042268193E-8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inspir19@163.com</dc:creator>
  <cp:lastModifiedBy>inspir19@163.com</cp:lastModifiedBy>
  <dcterms:created xsi:type="dcterms:W3CDTF">2025-02-13T15:03:29Z</dcterms:created>
  <dcterms:modified xsi:type="dcterms:W3CDTF">2025-02-13T15:55:47Z</dcterms:modified>
</cp:coreProperties>
</file>